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8tha\Documents\TB\tb contact tracing costing analysis\tb_incident_contact_tracing_costing\"/>
    </mc:Choice>
  </mc:AlternateContent>
  <xr:revisionPtr revIDLastSave="0" documentId="13_ncr:1_{AB3185D5-D7C2-4B4A-AF25-C19D0C097503}" xr6:coauthVersionLast="47" xr6:coauthVersionMax="47" xr10:uidLastSave="{00000000-0000-0000-0000-000000000000}"/>
  <bookViews>
    <workbookView xWindow="-120" yWindow="-120" windowWidth="29040" windowHeight="16440" tabRatio="789" activeTab="11" xr2:uid="{7F000DB6-5F9D-4E89-87BF-17D05A5C05AB}"/>
  </bookViews>
  <sheets>
    <sheet name="README" sheetId="11" r:id="rId1"/>
    <sheet name="Flowchart" sheetId="8" r:id="rId2"/>
    <sheet name="Event costs eqns" sheetId="28" r:id="rId3"/>
    <sheet name="SA one-way" sheetId="15" r:id="rId4"/>
    <sheet name="Scenarios" sheetId="37" r:id="rId5"/>
    <sheet name="Tornado" sheetId="10" r:id="rId6"/>
    <sheet name="Treatment" sheetId="7" r:id="rId7"/>
    <sheet name="Oncosts" sheetId="12" r:id="rId8"/>
    <sheet name="Appt Admin" sheetId="6" r:id="rId9"/>
    <sheet name="Equipment" sheetId="3" r:id="rId10"/>
    <sheet name="Meetings" sheetId="14" r:id="rId11"/>
    <sheet name="Staff" sheetId="2" r:id="rId12"/>
    <sheet name="Salaries" sheetId="4" r:id="rId13"/>
    <sheet name="Incidents" sheetId="34" r:id="rId14"/>
    <sheet name="Pathways" sheetId="43" r:id="rId15"/>
  </sheets>
  <functionGroups builtInGroupCount="19"/>
  <definedNames>
    <definedName name="admin_job">'Appt Admin'!$D$11</definedName>
    <definedName name="c_allTx">'Event costs eqns'!$G$74</definedName>
    <definedName name="c_appt1">'Appt Admin'!#REF!</definedName>
    <definedName name="c_appt2">'Appt Admin'!#REF!</definedName>
    <definedName name="c_apptnurse">'Appt Admin'!$D$7</definedName>
    <definedName name="c_blood">Equipment!$E$4</definedName>
    <definedName name="c_drive">'Appt Admin'!$D$13</definedName>
    <definedName name="c_enquire">'Event costs eqns'!$G$71</definedName>
    <definedName name="c_FES">Staff!#REF!</definedName>
    <definedName name="c_FES_hr">Staff!#REF!</definedName>
    <definedName name="c_fup">'Event costs eqns'!$G$78</definedName>
    <definedName name="c_fup_appt">'Appt Admin'!$D$32</definedName>
    <definedName name="c_hpp_hr_london">Staff!$I$9</definedName>
    <definedName name="c_hpp_hr_outside">Staff!$I$8</definedName>
    <definedName name="c_hpp_london_yr">Staff!$H$9</definedName>
    <definedName name="c_hpp_out_yr">Staff!$H$8</definedName>
    <definedName name="c_IGRA">Equipment!$E$3</definedName>
    <definedName name="c_inc_meet_BIRM">'Event costs eqns'!$G$20</definedName>
    <definedName name="c_inc_meet_LDN">'Event costs eqns'!#REF!</definedName>
    <definedName name="c_incid_meet_salary_BIRM">Meetings!$E$12</definedName>
    <definedName name="c_incid_meet_salary_LDN">Meetings!#REF!</definedName>
    <definedName name="c_inform">'Event costs eqns'!$G$26</definedName>
    <definedName name="c_invite">'Event costs eqns'!$G$34</definedName>
    <definedName name="c_LTBR">Staff!$H$19</definedName>
    <definedName name="c_LTBR_hr">Staff!$I$19</definedName>
    <definedName name="c_LTBR_yr">Staff!$H$19</definedName>
    <definedName name="c_meeting_ATC">Meetings!#REF!</definedName>
    <definedName name="c_meeting_region">Meetings!#REF!</definedName>
    <definedName name="c_meeting_review_BIRM">Meetings!$J$12</definedName>
    <definedName name="c_meeting_review_LDN">Meetings!#REF!</definedName>
    <definedName name="c_nurse_3_hr_london">Staff!$I$11</definedName>
    <definedName name="c_nurse_3_hr_outside">Staff!$I$10</definedName>
    <definedName name="c_nurse_3_yr">Staff!$H$10</definedName>
    <definedName name="c_nurse_6_hr_london">Staff!$I$13</definedName>
    <definedName name="c_nurse_6_hr_outside">Staff!$I$12</definedName>
    <definedName name="c_nurse_6_yr">Staff!$H$12</definedName>
    <definedName name="c_nurse_7_hr_london">Staff!$I$15</definedName>
    <definedName name="c_nurse_7_hr_outside">Staff!$I$14</definedName>
    <definedName name="c_nurse_7_yr">Staff!$H$14</definedName>
    <definedName name="c_nurse_lead_hr_london">Staff!$I$17</definedName>
    <definedName name="c_nurse_lead_hr_outside">Staff!$I$16</definedName>
    <definedName name="c_nurse_lead_yr">Staff!$H$16</definedName>
    <definedName name="c_paed">Staff!$H$18</definedName>
    <definedName name="c_paed_hr">Staff!$I$18</definedName>
    <definedName name="c_phleb">'Appt Admin'!$D$5</definedName>
    <definedName name="c_phoneRA_BIRM">'Event costs eqns'!$G$6</definedName>
    <definedName name="c_phoneRA_LDN">'Event costs eqns'!#REF!</definedName>
    <definedName name="c_QandA">'Event costs eqns'!$G$66</definedName>
    <definedName name="c_rev_meet_BIRM">'Event costs eqns'!#REF!</definedName>
    <definedName name="c_rev_meet_LDN">'Event costs eqns'!#REF!</definedName>
    <definedName name="c_site_screen">'Event costs eqns'!$G$47</definedName>
    <definedName name="c_siteRA_BIRM">'Event costs eqns'!$G$14</definedName>
    <definedName name="c_siteRA_LDN">'Event costs eqns'!#REF!</definedName>
    <definedName name="c_TBphys_hr_london">Staff!$I$7</definedName>
    <definedName name="c_TBphys_hr_outside">Staff!$I$6</definedName>
    <definedName name="c_TBphys_yr">Staff!$H$6</definedName>
    <definedName name="c_TST">Equipment!$E$5</definedName>
    <definedName name="c_Tx">Treatment!$D$13</definedName>
    <definedName name="d_actual">Oncosts!$E$22</definedName>
    <definedName name="d_actual_hrs">Oncosts!$E$23</definedName>
    <definedName name="d_avail">Oncosts!$E$16</definedName>
    <definedName name="d_leave0">Oncosts!$E$18</definedName>
    <definedName name="d_leave10">Oncosts!$E$20</definedName>
    <definedName name="d_leave5">Oncosts!$E$19</definedName>
    <definedName name="d_pubhol">Oncosts!$E$17</definedName>
    <definedName name="d_site">'Appt Admin'!$D$23</definedName>
    <definedName name="ddd">Incidents!#REF!</definedName>
    <definedName name="LTBIpos_factory">Incidents!#REF!</definedName>
    <definedName name="LTBIpos_healthcare">Incidents!#REF!</definedName>
    <definedName name="LTBIpos_learn">Incidents!#REF!</definedName>
    <definedName name="LTBIpos_office">Incidents!#REF!</definedName>
    <definedName name="LTBIpos_prison">Incidents!#REF!</definedName>
    <definedName name="LTBIpos_retail">Incidents!#REF!</definedName>
    <definedName name="LTBIpos_work">Incidents!#REF!</definedName>
    <definedName name="max_screen">'Appt Admin'!$D$28</definedName>
    <definedName name="n_incid_factory">Incidents!#REF!</definedName>
    <definedName name="n_incid_healthcare">Incidents!#REF!</definedName>
    <definedName name="n_incid_learn">Incidents!#REF!</definedName>
    <definedName name="n_incid_office">Incidents!#REF!</definedName>
    <definedName name="n_incid_prison">Incidents!#REF!</definedName>
    <definedName name="n_incid_retail">Incidents!#REF!</definedName>
    <definedName name="n_incid_work">Incidents!#REF!</definedName>
    <definedName name="n_incid_workplace">Incidents!#REF!</definedName>
    <definedName name="nscreen_factory">Incidents!#REF!</definedName>
    <definedName name="nscreen_healthcare">Incidents!#REF!</definedName>
    <definedName name="nscreen_learn">Incidents!#REF!</definedName>
    <definedName name="nscreen_office">Incidents!#REF!</definedName>
    <definedName name="nscreen_prison">Incidents!#REF!</definedName>
    <definedName name="nscreen_retail">Incidents!#REF!</definedName>
    <definedName name="num_identified">'SA one-way'!$D$3</definedName>
    <definedName name="outbreak_size">'SA one-way'!$D$4</definedName>
    <definedName name="p_admin">Oncosts!$E$10</definedName>
    <definedName name="p_NI">Oncosts!$E$12</definedName>
    <definedName name="p_pension18">Oncosts!$E$8</definedName>
    <definedName name="p_pension19">Oncosts!$E$9</definedName>
    <definedName name="p_pensionNI">Oncosts!$E$13</definedName>
    <definedName name="p_pos">'SA one-way'!$D$5</definedName>
    <definedName name="p_screen_incid">'Appt Admin'!$D$36</definedName>
    <definedName name="p_screen_invite">'Appt Admin'!#REF!</definedName>
    <definedName name="p_site_screen">'Appt Admin'!$D$30</definedName>
    <definedName name="t_admin">'Appt Admin'!#REF!</definedName>
    <definedName name="t_admin_appt">'Appt Admin'!$D$9</definedName>
    <definedName name="t_admin_id">'Appt Admin'!$D$10</definedName>
    <definedName name="t_admin_post">'Appt Admin'!$D$8</definedName>
    <definedName name="t_enquire">'Appt Admin'!$D$34</definedName>
    <definedName name="t_incid_meet">'Appt Admin'!$D$26</definedName>
    <definedName name="t_inform">'Appt Admin'!$D$16</definedName>
    <definedName name="t_inform_pp">'Appt Admin'!$D$17</definedName>
    <definedName name="t_meet_review">'Appt Admin'!$D$25</definedName>
    <definedName name="t_phone_preRA">'Appt Admin'!$D$20</definedName>
    <definedName name="t_phoneRA">'Appt Admin'!$D$19</definedName>
    <definedName name="t_QandA">'Appt Admin'!$D$15</definedName>
    <definedName name="t_reg">'Appt Admin'!#REF!</definedName>
    <definedName name="t_site_screen">'Appt Admin'!$D$21</definedName>
    <definedName name="t_siteRA">'Appt Admin'!$D$18</definedName>
    <definedName name="t_visit">'Appt Admin'!#REF!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" i="2" l="1"/>
  <c r="J14" i="2"/>
  <c r="J12" i="2"/>
  <c r="J10" i="2"/>
  <c r="G22" i="10"/>
  <c r="G23" i="10"/>
  <c r="G21" i="37"/>
  <c r="G20" i="37"/>
  <c r="G19" i="37"/>
  <c r="G18" i="37"/>
  <c r="G17" i="37"/>
  <c r="G16" i="37"/>
  <c r="E54" i="34" l="1"/>
  <c r="D54" i="34" s="1"/>
  <c r="E53" i="34"/>
  <c r="D53" i="34" s="1"/>
  <c r="E52" i="34"/>
  <c r="D52" i="34" s="1"/>
  <c r="E51" i="34"/>
  <c r="D51" i="34" s="1"/>
  <c r="E50" i="34"/>
  <c r="D50" i="34" s="1"/>
  <c r="E49" i="34"/>
  <c r="D49" i="34"/>
  <c r="E48" i="34"/>
  <c r="D48" i="34" s="1"/>
  <c r="E47" i="34"/>
  <c r="D47" i="34" s="1"/>
  <c r="E46" i="34"/>
  <c r="D46" i="34"/>
  <c r="E45" i="34"/>
  <c r="D45" i="34" s="1"/>
  <c r="E44" i="34"/>
  <c r="D44" i="34" s="1"/>
  <c r="E43" i="34"/>
  <c r="D43" i="34" s="1"/>
  <c r="E42" i="34"/>
  <c r="D42" i="34" s="1"/>
  <c r="E41" i="34"/>
  <c r="D41" i="34" s="1"/>
  <c r="E40" i="34"/>
  <c r="D40" i="34" s="1"/>
  <c r="E39" i="34"/>
  <c r="D39" i="34" s="1"/>
  <c r="E38" i="34"/>
  <c r="D38" i="34" s="1"/>
  <c r="E37" i="34"/>
  <c r="D37" i="34" s="1"/>
  <c r="E36" i="34"/>
  <c r="D36" i="34" s="1"/>
  <c r="E35" i="34"/>
  <c r="D35" i="34" s="1"/>
  <c r="E34" i="34"/>
  <c r="D34" i="34" s="1"/>
  <c r="E33" i="34"/>
  <c r="D33" i="34" s="1"/>
  <c r="E32" i="34"/>
  <c r="D32" i="34"/>
  <c r="E31" i="34"/>
  <c r="D31" i="34" s="1"/>
  <c r="E30" i="34"/>
  <c r="D30" i="34"/>
  <c r="E29" i="34"/>
  <c r="D29" i="34" s="1"/>
  <c r="E28" i="34"/>
  <c r="D28" i="34" s="1"/>
  <c r="E27" i="34"/>
  <c r="D27" i="34" s="1"/>
  <c r="E26" i="34"/>
  <c r="D26" i="34" s="1"/>
  <c r="E25" i="34"/>
  <c r="D25" i="34" s="1"/>
  <c r="E24" i="34"/>
  <c r="D24" i="34" s="1"/>
  <c r="E23" i="34"/>
  <c r="D23" i="34" s="1"/>
  <c r="E22" i="34"/>
  <c r="D22" i="34" s="1"/>
  <c r="E21" i="34"/>
  <c r="D21" i="34" s="1"/>
  <c r="E20" i="34"/>
  <c r="D20" i="34"/>
  <c r="E19" i="34"/>
  <c r="D19" i="34" s="1"/>
  <c r="E18" i="34"/>
  <c r="D18" i="34" s="1"/>
  <c r="E17" i="34"/>
  <c r="D17" i="34" s="1"/>
  <c r="E16" i="34"/>
  <c r="D16" i="34"/>
  <c r="E15" i="34"/>
  <c r="D15" i="34" s="1"/>
  <c r="E14" i="34"/>
  <c r="D14" i="34" s="1"/>
  <c r="E13" i="34"/>
  <c r="D13" i="34" s="1"/>
  <c r="E12" i="34"/>
  <c r="D12" i="34" s="1"/>
  <c r="E11" i="34"/>
  <c r="D11" i="34" s="1"/>
  <c r="E10" i="34"/>
  <c r="D10" i="34" s="1"/>
  <c r="E9" i="34"/>
  <c r="D9" i="34" s="1"/>
  <c r="E8" i="34"/>
  <c r="D8" i="34" s="1"/>
  <c r="E7" i="34"/>
  <c r="D7" i="34" s="1"/>
  <c r="E6" i="34"/>
  <c r="D6" i="34" s="1"/>
  <c r="E5" i="34"/>
  <c r="D5" i="34"/>
  <c r="E4" i="34"/>
  <c r="D4" i="34" s="1"/>
  <c r="E5" i="43"/>
  <c r="E6" i="43"/>
  <c r="D6" i="43" s="1"/>
  <c r="H6" i="43" s="1"/>
  <c r="E7" i="43"/>
  <c r="D7" i="43" s="1"/>
  <c r="H7" i="43" s="1"/>
  <c r="E8" i="43"/>
  <c r="E9" i="43"/>
  <c r="E10" i="43"/>
  <c r="E11" i="43"/>
  <c r="D11" i="43" s="1"/>
  <c r="H11" i="43" s="1"/>
  <c r="E12" i="43"/>
  <c r="D12" i="43" s="1"/>
  <c r="H12" i="43" s="1"/>
  <c r="E13" i="43"/>
  <c r="D13" i="43" s="1"/>
  <c r="H13" i="43" s="1"/>
  <c r="E14" i="43"/>
  <c r="E15" i="43"/>
  <c r="E16" i="43"/>
  <c r="E17" i="43"/>
  <c r="D17" i="43" s="1"/>
  <c r="H17" i="43" s="1"/>
  <c r="E18" i="43"/>
  <c r="E19" i="43"/>
  <c r="D19" i="43" s="1"/>
  <c r="H19" i="43" s="1"/>
  <c r="E20" i="43"/>
  <c r="E21" i="43"/>
  <c r="E22" i="43"/>
  <c r="D22" i="43" s="1"/>
  <c r="H22" i="43" s="1"/>
  <c r="E23" i="43"/>
  <c r="D23" i="43" s="1"/>
  <c r="H23" i="43" s="1"/>
  <c r="E24" i="43"/>
  <c r="E25" i="43"/>
  <c r="D25" i="43" s="1"/>
  <c r="H25" i="43" s="1"/>
  <c r="E26" i="43"/>
  <c r="E27" i="43"/>
  <c r="D27" i="43" s="1"/>
  <c r="H27" i="43" s="1"/>
  <c r="E28" i="43"/>
  <c r="D28" i="43" s="1"/>
  <c r="H28" i="43" s="1"/>
  <c r="E29" i="43"/>
  <c r="D29" i="43" s="1"/>
  <c r="H29" i="43" s="1"/>
  <c r="E30" i="43"/>
  <c r="D30" i="43" s="1"/>
  <c r="H30" i="43" s="1"/>
  <c r="E31" i="43"/>
  <c r="D31" i="43" s="1"/>
  <c r="H31" i="43" s="1"/>
  <c r="E32" i="43"/>
  <c r="E33" i="43"/>
  <c r="E34" i="43"/>
  <c r="E35" i="43"/>
  <c r="D35" i="43" s="1"/>
  <c r="H35" i="43" s="1"/>
  <c r="E36" i="43"/>
  <c r="D36" i="43" s="1"/>
  <c r="H36" i="43" s="1"/>
  <c r="E37" i="43"/>
  <c r="D37" i="43" s="1"/>
  <c r="H37" i="43" s="1"/>
  <c r="E38" i="43"/>
  <c r="E39" i="43"/>
  <c r="E40" i="43"/>
  <c r="D40" i="43" s="1"/>
  <c r="H40" i="43" s="1"/>
  <c r="E41" i="43"/>
  <c r="D41" i="43" s="1"/>
  <c r="H41" i="43" s="1"/>
  <c r="E42" i="43"/>
  <c r="D42" i="43" s="1"/>
  <c r="H42" i="43" s="1"/>
  <c r="E43" i="43"/>
  <c r="D43" i="43" s="1"/>
  <c r="H43" i="43" s="1"/>
  <c r="E44" i="43"/>
  <c r="D44" i="43" s="1"/>
  <c r="H44" i="43" s="1"/>
  <c r="E45" i="43"/>
  <c r="E46" i="43"/>
  <c r="E47" i="43"/>
  <c r="E48" i="43"/>
  <c r="E49" i="43"/>
  <c r="E50" i="43"/>
  <c r="E51" i="43"/>
  <c r="D51" i="43" s="1"/>
  <c r="H51" i="43" s="1"/>
  <c r="E52" i="43"/>
  <c r="D52" i="43" s="1"/>
  <c r="H52" i="43" s="1"/>
  <c r="E53" i="43"/>
  <c r="D53" i="43" s="1"/>
  <c r="H53" i="43" s="1"/>
  <c r="E54" i="43"/>
  <c r="D54" i="43" s="1"/>
  <c r="H54" i="43" s="1"/>
  <c r="D5" i="43"/>
  <c r="H5" i="43" s="1"/>
  <c r="D8" i="43"/>
  <c r="H8" i="43" s="1"/>
  <c r="D9" i="43"/>
  <c r="H9" i="43" s="1"/>
  <c r="D10" i="43"/>
  <c r="H10" i="43" s="1"/>
  <c r="D14" i="43"/>
  <c r="H14" i="43" s="1"/>
  <c r="D15" i="43"/>
  <c r="H15" i="43" s="1"/>
  <c r="D16" i="43"/>
  <c r="H16" i="43" s="1"/>
  <c r="D18" i="43"/>
  <c r="H18" i="43" s="1"/>
  <c r="D20" i="43"/>
  <c r="H20" i="43" s="1"/>
  <c r="D21" i="43"/>
  <c r="H21" i="43" s="1"/>
  <c r="D24" i="43"/>
  <c r="H24" i="43" s="1"/>
  <c r="D26" i="43"/>
  <c r="H26" i="43" s="1"/>
  <c r="D32" i="43"/>
  <c r="H32" i="43" s="1"/>
  <c r="D33" i="43"/>
  <c r="H33" i="43" s="1"/>
  <c r="D34" i="43"/>
  <c r="H34" i="43" s="1"/>
  <c r="D38" i="43"/>
  <c r="H38" i="43" s="1"/>
  <c r="D39" i="43"/>
  <c r="H39" i="43" s="1"/>
  <c r="D45" i="43"/>
  <c r="H45" i="43" s="1"/>
  <c r="D46" i="43"/>
  <c r="H46" i="43" s="1"/>
  <c r="D47" i="43"/>
  <c r="H47" i="43" s="1"/>
  <c r="D48" i="43"/>
  <c r="H48" i="43" s="1"/>
  <c r="D49" i="43"/>
  <c r="H49" i="43" s="1"/>
  <c r="D50" i="43"/>
  <c r="H50" i="43" s="1"/>
  <c r="E4" i="43"/>
  <c r="D4" i="43" s="1"/>
  <c r="H4" i="43" s="1"/>
  <c r="E69" i="28"/>
  <c r="E24" i="28"/>
  <c r="F24" i="28"/>
  <c r="G24" i="43" l="1"/>
  <c r="G48" i="43"/>
  <c r="G15" i="43"/>
  <c r="G31" i="43"/>
  <c r="G52" i="43"/>
  <c r="G44" i="43"/>
  <c r="G36" i="43"/>
  <c r="G28" i="43"/>
  <c r="G12" i="43"/>
  <c r="G54" i="43"/>
  <c r="G21" i="43"/>
  <c r="G40" i="43"/>
  <c r="G29" i="43"/>
  <c r="G8" i="43"/>
  <c r="G4" i="43"/>
  <c r="G20" i="43"/>
  <c r="G9" i="43"/>
  <c r="G17" i="43"/>
  <c r="G25" i="43"/>
  <c r="G33" i="43"/>
  <c r="G41" i="43"/>
  <c r="G49" i="43"/>
  <c r="G5" i="43"/>
  <c r="G13" i="43"/>
  <c r="G37" i="43"/>
  <c r="G45" i="43"/>
  <c r="G53" i="43"/>
  <c r="G10" i="43"/>
  <c r="G18" i="43"/>
  <c r="G26" i="43"/>
  <c r="G34" i="43"/>
  <c r="G42" i="43"/>
  <c r="G50" i="43"/>
  <c r="G6" i="43"/>
  <c r="G14" i="43"/>
  <c r="G22" i="43"/>
  <c r="G30" i="43"/>
  <c r="G38" i="43"/>
  <c r="G46" i="43"/>
  <c r="G11" i="43"/>
  <c r="G19" i="43"/>
  <c r="G27" i="43"/>
  <c r="G35" i="43"/>
  <c r="G43" i="43"/>
  <c r="G51" i="43"/>
  <c r="G7" i="43"/>
  <c r="G23" i="43"/>
  <c r="G39" i="43"/>
  <c r="G47" i="43"/>
  <c r="G16" i="43"/>
  <c r="G32" i="43"/>
  <c r="E52" i="28"/>
  <c r="E40" i="28"/>
  <c r="F78" i="28" l="1"/>
  <c r="G78" i="28" s="1"/>
  <c r="H51" i="4" l="1"/>
  <c r="G51" i="4"/>
  <c r="F51" i="4"/>
  <c r="E51" i="4"/>
  <c r="D51" i="4"/>
  <c r="H50" i="4"/>
  <c r="G50" i="4"/>
  <c r="F50" i="4"/>
  <c r="E50" i="4"/>
  <c r="D50" i="4"/>
  <c r="H49" i="4"/>
  <c r="G49" i="4"/>
  <c r="F49" i="4"/>
  <c r="E49" i="4"/>
  <c r="D49" i="4"/>
  <c r="H48" i="4"/>
  <c r="G48" i="4"/>
  <c r="F48" i="4"/>
  <c r="E48" i="4"/>
  <c r="D48" i="4"/>
  <c r="H47" i="4"/>
  <c r="G47" i="4"/>
  <c r="F47" i="4"/>
  <c r="E47" i="4"/>
  <c r="H17" i="2" s="1"/>
  <c r="D47" i="4"/>
  <c r="H46" i="4"/>
  <c r="G46" i="4"/>
  <c r="F46" i="4"/>
  <c r="E46" i="4"/>
  <c r="H15" i="2" s="1"/>
  <c r="D46" i="4"/>
  <c r="H45" i="4"/>
  <c r="G45" i="4"/>
  <c r="F45" i="4"/>
  <c r="E45" i="4"/>
  <c r="H13" i="2" s="1"/>
  <c r="D45" i="4"/>
  <c r="H44" i="4"/>
  <c r="G44" i="4"/>
  <c r="F44" i="4"/>
  <c r="E44" i="4"/>
  <c r="D44" i="4"/>
  <c r="H43" i="4"/>
  <c r="G43" i="4"/>
  <c r="F43" i="4"/>
  <c r="E43" i="4"/>
  <c r="D43" i="4"/>
  <c r="H42" i="4"/>
  <c r="G42" i="4"/>
  <c r="F42" i="4"/>
  <c r="E42" i="4"/>
  <c r="H11" i="2" s="1"/>
  <c r="D42" i="4"/>
  <c r="H41" i="4"/>
  <c r="G41" i="4"/>
  <c r="F41" i="4"/>
  <c r="E41" i="4"/>
  <c r="D41" i="4"/>
  <c r="D40" i="4"/>
  <c r="C51" i="4"/>
  <c r="C50" i="4"/>
  <c r="C49" i="4"/>
  <c r="C48" i="4"/>
  <c r="C47" i="4"/>
  <c r="C46" i="4"/>
  <c r="C45" i="4"/>
  <c r="C44" i="4"/>
  <c r="C43" i="4"/>
  <c r="C42" i="4"/>
  <c r="C41" i="4"/>
  <c r="C40" i="4"/>
  <c r="J13" i="2" l="1"/>
  <c r="I13" i="2"/>
  <c r="J15" i="2"/>
  <c r="I15" i="2"/>
  <c r="I17" i="2"/>
  <c r="J17" i="2"/>
  <c r="J11" i="2"/>
  <c r="I11" i="2"/>
  <c r="H8" i="2"/>
  <c r="H9" i="2"/>
  <c r="E51" i="28"/>
  <c r="E50" i="28"/>
  <c r="E42" i="28"/>
  <c r="E39" i="28"/>
  <c r="E38" i="28"/>
  <c r="I11" i="14"/>
  <c r="I10" i="14"/>
  <c r="I8" i="14"/>
  <c r="J9" i="2" l="1"/>
  <c r="I9" i="2"/>
  <c r="I8" i="2"/>
  <c r="J8" i="2"/>
  <c r="F23" i="10"/>
  <c r="F22" i="10"/>
  <c r="E23" i="10"/>
  <c r="E22" i="10"/>
  <c r="D23" i="10"/>
  <c r="D22" i="10"/>
  <c r="C23" i="10"/>
  <c r="C22" i="10"/>
  <c r="E13" i="12"/>
  <c r="F31" i="28"/>
  <c r="G30" i="28" l="1"/>
  <c r="G29" i="28"/>
  <c r="N5" i="43"/>
  <c r="N6" i="43"/>
  <c r="N7" i="43"/>
  <c r="N8" i="43"/>
  <c r="N9" i="43"/>
  <c r="N10" i="43"/>
  <c r="N11" i="43"/>
  <c r="N12" i="43"/>
  <c r="N13" i="43"/>
  <c r="N14" i="43"/>
  <c r="N15" i="43"/>
  <c r="N16" i="43"/>
  <c r="N17" i="43"/>
  <c r="N18" i="43"/>
  <c r="N19" i="43"/>
  <c r="N20" i="43"/>
  <c r="N21" i="43"/>
  <c r="N22" i="43"/>
  <c r="N23" i="43"/>
  <c r="N24" i="43"/>
  <c r="N25" i="43"/>
  <c r="N26" i="43"/>
  <c r="N27" i="43"/>
  <c r="N28" i="43"/>
  <c r="N29" i="43"/>
  <c r="N30" i="43"/>
  <c r="N31" i="43"/>
  <c r="N32" i="43"/>
  <c r="N33" i="43"/>
  <c r="N34" i="43"/>
  <c r="N35" i="43"/>
  <c r="N36" i="43"/>
  <c r="N37" i="43"/>
  <c r="N38" i="43"/>
  <c r="N39" i="43"/>
  <c r="N40" i="43"/>
  <c r="N41" i="43"/>
  <c r="N42" i="43"/>
  <c r="N43" i="43"/>
  <c r="N44" i="43"/>
  <c r="N45" i="43"/>
  <c r="N46" i="43"/>
  <c r="N47" i="43"/>
  <c r="N48" i="43"/>
  <c r="N49" i="43"/>
  <c r="N50" i="43"/>
  <c r="N51" i="43"/>
  <c r="N52" i="43"/>
  <c r="N53" i="43"/>
  <c r="N54" i="43"/>
  <c r="N4" i="43"/>
  <c r="J11" i="43" l="1"/>
  <c r="I11" i="43" s="1"/>
  <c r="M11" i="43"/>
  <c r="M38" i="43"/>
  <c r="J38" i="43"/>
  <c r="I38" i="43" s="1"/>
  <c r="M25" i="43"/>
  <c r="J25" i="43"/>
  <c r="I25" i="43" s="1"/>
  <c r="J12" i="43"/>
  <c r="I12" i="43" s="1"/>
  <c r="M12" i="43"/>
  <c r="J46" i="43"/>
  <c r="I46" i="43" s="1"/>
  <c r="M46" i="43"/>
  <c r="J21" i="43"/>
  <c r="I21" i="43" s="1"/>
  <c r="M21" i="43"/>
  <c r="J32" i="43"/>
  <c r="I32" i="43" s="1"/>
  <c r="M32" i="43"/>
  <c r="J6" i="43"/>
  <c r="I6" i="43" s="1"/>
  <c r="M6" i="43"/>
  <c r="M50" i="43"/>
  <c r="J50" i="43"/>
  <c r="I50" i="43" s="1"/>
  <c r="M49" i="43"/>
  <c r="J49" i="43"/>
  <c r="I49" i="43" s="1"/>
  <c r="M13" i="43"/>
  <c r="J13" i="43"/>
  <c r="I13" i="43" s="1"/>
  <c r="J36" i="43"/>
  <c r="I36" i="43" s="1"/>
  <c r="M36" i="43"/>
  <c r="J47" i="43"/>
  <c r="I47" i="43" s="1"/>
  <c r="M47" i="43"/>
  <c r="M34" i="43"/>
  <c r="J34" i="43"/>
  <c r="I34" i="43" s="1"/>
  <c r="J45" i="43"/>
  <c r="I45" i="43" s="1"/>
  <c r="M45" i="43"/>
  <c r="J9" i="43"/>
  <c r="I9" i="43" s="1"/>
  <c r="M9" i="43"/>
  <c r="J17" i="43"/>
  <c r="I17" i="43" s="1"/>
  <c r="M17" i="43"/>
  <c r="M14" i="43"/>
  <c r="J14" i="43"/>
  <c r="I14" i="43" s="1"/>
  <c r="J24" i="43"/>
  <c r="I24" i="43" s="1"/>
  <c r="M24" i="43"/>
  <c r="J23" i="43"/>
  <c r="I23" i="43" s="1"/>
  <c r="M23" i="43"/>
  <c r="J22" i="43"/>
  <c r="I22" i="43" s="1"/>
  <c r="M22" i="43"/>
  <c r="J33" i="43"/>
  <c r="I33" i="43" s="1"/>
  <c r="M33" i="43"/>
  <c r="M20" i="43"/>
  <c r="J20" i="43"/>
  <c r="I20" i="43" s="1"/>
  <c r="J4" i="43"/>
  <c r="I4" i="43" s="1"/>
  <c r="M4" i="43"/>
  <c r="J42" i="43"/>
  <c r="I42" i="43" s="1"/>
  <c r="M42" i="43"/>
  <c r="M26" i="43"/>
  <c r="J26" i="43"/>
  <c r="I26" i="43" s="1"/>
  <c r="M37" i="43"/>
  <c r="J37" i="43"/>
  <c r="I37" i="43" s="1"/>
  <c r="J48" i="43"/>
  <c r="I48" i="43" s="1"/>
  <c r="M48" i="43"/>
  <c r="J35" i="43"/>
  <c r="I35" i="43" s="1"/>
  <c r="M35" i="43"/>
  <c r="J10" i="43"/>
  <c r="I10" i="43" s="1"/>
  <c r="M10" i="43"/>
  <c r="J44" i="43"/>
  <c r="I44" i="43" s="1"/>
  <c r="M44" i="43"/>
  <c r="J8" i="43"/>
  <c r="I8" i="43" s="1"/>
  <c r="M8" i="43"/>
  <c r="M43" i="43"/>
  <c r="J43" i="43"/>
  <c r="I43" i="43" s="1"/>
  <c r="M31" i="43"/>
  <c r="J31" i="43"/>
  <c r="I31" i="43" s="1"/>
  <c r="J19" i="43"/>
  <c r="I19" i="43" s="1"/>
  <c r="M19" i="43"/>
  <c r="M7" i="43"/>
  <c r="J7" i="43"/>
  <c r="I7" i="43" s="1"/>
  <c r="J54" i="43"/>
  <c r="I54" i="43" s="1"/>
  <c r="M54" i="43"/>
  <c r="J30" i="43"/>
  <c r="I30" i="43" s="1"/>
  <c r="M30" i="43"/>
  <c r="J18" i="43"/>
  <c r="I18" i="43" s="1"/>
  <c r="M18" i="43"/>
  <c r="J53" i="43"/>
  <c r="I53" i="43" s="1"/>
  <c r="M53" i="43"/>
  <c r="J41" i="43"/>
  <c r="I41" i="43" s="1"/>
  <c r="M41" i="43"/>
  <c r="J29" i="43"/>
  <c r="I29" i="43" s="1"/>
  <c r="M29" i="43"/>
  <c r="J5" i="43"/>
  <c r="I5" i="43" s="1"/>
  <c r="M5" i="43"/>
  <c r="J52" i="43"/>
  <c r="I52" i="43" s="1"/>
  <c r="M52" i="43"/>
  <c r="J40" i="43"/>
  <c r="I40" i="43" s="1"/>
  <c r="M40" i="43"/>
  <c r="J28" i="43"/>
  <c r="I28" i="43" s="1"/>
  <c r="M28" i="43"/>
  <c r="J16" i="43"/>
  <c r="I16" i="43" s="1"/>
  <c r="M16" i="43"/>
  <c r="M51" i="43"/>
  <c r="J51" i="43"/>
  <c r="I51" i="43" s="1"/>
  <c r="M39" i="43"/>
  <c r="J39" i="43"/>
  <c r="I39" i="43" s="1"/>
  <c r="M27" i="43"/>
  <c r="J27" i="43"/>
  <c r="I27" i="43" s="1"/>
  <c r="M15" i="43"/>
  <c r="J15" i="43"/>
  <c r="I15" i="43" s="1"/>
  <c r="E55" i="28"/>
  <c r="E54" i="28"/>
  <c r="E43" i="28"/>
  <c r="E44" i="28"/>
  <c r="E32" i="28"/>
  <c r="E31" i="28"/>
  <c r="F55" i="28"/>
  <c r="F44" i="28"/>
  <c r="E4" i="28" l="1"/>
  <c r="F52" i="28" l="1"/>
  <c r="G52" i="28" s="1"/>
  <c r="F54" i="28" l="1"/>
  <c r="C19" i="14"/>
  <c r="C18" i="14"/>
  <c r="D18" i="14" s="1"/>
  <c r="C159" i="4"/>
  <c r="H6" i="2" l="1"/>
  <c r="D159" i="4"/>
  <c r="H7" i="2" s="1"/>
  <c r="J9" i="14"/>
  <c r="E9" i="14"/>
  <c r="G39" i="28"/>
  <c r="G51" i="28"/>
  <c r="F53" i="28"/>
  <c r="G53" i="28" s="1"/>
  <c r="D13" i="7"/>
  <c r="E13" i="7"/>
  <c r="I7" i="2" l="1"/>
  <c r="J7" i="2"/>
  <c r="J6" i="2"/>
  <c r="I6" i="2"/>
  <c r="J8" i="14"/>
  <c r="D10" i="14"/>
  <c r="D11" i="14"/>
  <c r="D8" i="14"/>
  <c r="E8" i="14" s="1"/>
  <c r="Q51" i="15" l="1"/>
  <c r="Q52" i="15"/>
  <c r="Q61" i="15"/>
  <c r="Q62" i="15"/>
  <c r="Q25" i="15"/>
  <c r="Q26" i="15"/>
  <c r="Q15" i="15"/>
  <c r="Q16" i="15"/>
  <c r="Q79" i="15"/>
  <c r="Q80" i="15"/>
  <c r="Q84" i="15"/>
  <c r="Q83" i="15"/>
  <c r="Q82" i="15"/>
  <c r="Q78" i="15"/>
  <c r="Q77" i="15"/>
  <c r="Q76" i="15"/>
  <c r="Q74" i="15"/>
  <c r="Q73" i="15"/>
  <c r="Q72" i="15"/>
  <c r="Q70" i="15"/>
  <c r="Q69" i="15"/>
  <c r="Q68" i="15"/>
  <c r="Q66" i="15"/>
  <c r="Q65" i="15"/>
  <c r="Q64" i="15"/>
  <c r="Q60" i="15"/>
  <c r="Q59" i="15"/>
  <c r="Q58" i="15"/>
  <c r="Q54" i="15"/>
  <c r="Q55" i="15"/>
  <c r="Q56" i="15"/>
  <c r="Q48" i="15"/>
  <c r="Q49" i="15"/>
  <c r="Q50" i="15"/>
  <c r="O61" i="15" l="1"/>
  <c r="M74" i="15"/>
  <c r="O68" i="15"/>
  <c r="O79" i="15"/>
  <c r="O69" i="15"/>
  <c r="O62" i="15"/>
  <c r="O52" i="15"/>
  <c r="O50" i="15"/>
  <c r="O77" i="15"/>
  <c r="O48" i="15"/>
  <c r="O49" i="15"/>
  <c r="O51" i="15"/>
  <c r="O58" i="15"/>
  <c r="O59" i="15"/>
  <c r="O80" i="15"/>
  <c r="O70" i="15"/>
  <c r="O76" i="15"/>
  <c r="O78" i="15"/>
  <c r="O60" i="15"/>
  <c r="M37" i="15"/>
  <c r="M82" i="15"/>
  <c r="M83" i="15"/>
  <c r="M84" i="15"/>
  <c r="M54" i="15"/>
  <c r="M28" i="15"/>
  <c r="M30" i="15"/>
  <c r="M65" i="15"/>
  <c r="M38" i="15"/>
  <c r="M45" i="15"/>
  <c r="M55" i="15"/>
  <c r="M46" i="15"/>
  <c r="M64" i="15"/>
  <c r="M72" i="15"/>
  <c r="M36" i="15"/>
  <c r="M66" i="15"/>
  <c r="M29" i="15"/>
  <c r="M73" i="15"/>
  <c r="M56" i="15"/>
  <c r="M44" i="15"/>
  <c r="F40" i="28" l="1"/>
  <c r="G40" i="28" s="1"/>
  <c r="F11" i="28"/>
  <c r="E12" i="28" l="1"/>
  <c r="E10" i="28"/>
  <c r="E63" i="28"/>
  <c r="G63" i="28" s="1"/>
  <c r="E64" i="28"/>
  <c r="G64" i="28" s="1"/>
  <c r="E62" i="28"/>
  <c r="Q46" i="15" l="1"/>
  <c r="Q45" i="15"/>
  <c r="Q44" i="15"/>
  <c r="Q42" i="15"/>
  <c r="Q41" i="15"/>
  <c r="Q40" i="15"/>
  <c r="Q38" i="15"/>
  <c r="Q37" i="15"/>
  <c r="Q36" i="15"/>
  <c r="Q34" i="15"/>
  <c r="Q33" i="15"/>
  <c r="Q32" i="15"/>
  <c r="Q30" i="15"/>
  <c r="Q29" i="15"/>
  <c r="Q28" i="15"/>
  <c r="Q24" i="15"/>
  <c r="Q23" i="15"/>
  <c r="Q22" i="15"/>
  <c r="O42" i="15"/>
  <c r="O41" i="15"/>
  <c r="O40" i="15"/>
  <c r="O34" i="15"/>
  <c r="O33" i="15"/>
  <c r="O32" i="15"/>
  <c r="O24" i="15"/>
  <c r="O23" i="15"/>
  <c r="O22" i="15"/>
  <c r="O14" i="15"/>
  <c r="O13" i="15"/>
  <c r="O12" i="15"/>
  <c r="Q18" i="15"/>
  <c r="Q19" i="15"/>
  <c r="Q20" i="15"/>
  <c r="Q12" i="15"/>
  <c r="Q13" i="15"/>
  <c r="Q14" i="15"/>
  <c r="F74" i="28"/>
  <c r="M20" i="15"/>
  <c r="M19" i="15"/>
  <c r="M18" i="15"/>
  <c r="F32" i="28" l="1"/>
  <c r="F30" i="28"/>
  <c r="F29" i="28"/>
  <c r="F41" i="28"/>
  <c r="G41" i="28" s="1"/>
  <c r="F43" i="28"/>
  <c r="G74" i="28"/>
  <c r="G42" i="28"/>
  <c r="G11" i="28"/>
  <c r="E22" i="12" l="1"/>
  <c r="H10" i="2" l="1"/>
  <c r="H14" i="2"/>
  <c r="H16" i="2"/>
  <c r="H12" i="2"/>
  <c r="K16" i="37"/>
  <c r="K18" i="37"/>
  <c r="K17" i="37"/>
  <c r="K21" i="37"/>
  <c r="K19" i="37"/>
  <c r="I10" i="10"/>
  <c r="I6" i="10"/>
  <c r="K20" i="37"/>
  <c r="I15" i="10"/>
  <c r="I14" i="10"/>
  <c r="I7" i="10"/>
  <c r="I12" i="10"/>
  <c r="I8" i="10"/>
  <c r="I13" i="10"/>
  <c r="I9" i="10"/>
  <c r="I16" i="10"/>
  <c r="I11" i="10"/>
  <c r="I16" i="2" l="1"/>
  <c r="I14" i="2"/>
  <c r="G10" i="28" s="1"/>
  <c r="I12" i="2"/>
  <c r="G69" i="28" s="1"/>
  <c r="I10" i="2"/>
  <c r="G31" i="28" s="1"/>
  <c r="R12" i="37"/>
  <c r="R11" i="37"/>
  <c r="R9" i="37"/>
  <c r="R10" i="37"/>
  <c r="R8" i="37"/>
  <c r="J11" i="14"/>
  <c r="E11" i="14"/>
  <c r="G24" i="28"/>
  <c r="G25" i="28" s="1"/>
  <c r="G38" i="28"/>
  <c r="G50" i="28"/>
  <c r="G4" i="28"/>
  <c r="G5" i="28" s="1"/>
  <c r="G6" i="28" s="1"/>
  <c r="G62" i="28"/>
  <c r="G44" i="28"/>
  <c r="G43" i="28"/>
  <c r="D19" i="14" l="1"/>
  <c r="D22" i="14" s="1"/>
  <c r="G32" i="28"/>
  <c r="G33" i="28" s="1"/>
  <c r="G34" i="28" s="1"/>
  <c r="G54" i="28"/>
  <c r="E10" i="14"/>
  <c r="G55" i="28"/>
  <c r="J10" i="14"/>
  <c r="J12" i="14" s="1"/>
  <c r="E12" i="14"/>
  <c r="G18" i="28" s="1"/>
  <c r="G70" i="28"/>
  <c r="G71" i="28" s="1"/>
  <c r="G65" i="28"/>
  <c r="G13" i="28"/>
  <c r="G14" i="28" s="1"/>
  <c r="G26" i="28"/>
  <c r="G15" i="10"/>
  <c r="G16" i="10"/>
  <c r="K78" i="37"/>
  <c r="K98" i="37"/>
  <c r="K6" i="37"/>
  <c r="K44" i="37"/>
  <c r="K47" i="37"/>
  <c r="G12" i="10"/>
  <c r="K79" i="37"/>
  <c r="K99" i="37"/>
  <c r="K59" i="37"/>
  <c r="K94" i="37"/>
  <c r="G11" i="10"/>
  <c r="K77" i="37"/>
  <c r="K4" i="37"/>
  <c r="K97" i="37"/>
  <c r="G9" i="10"/>
  <c r="K5" i="37"/>
  <c r="K29" i="37"/>
  <c r="K81" i="37"/>
  <c r="K76" i="37"/>
  <c r="K64" i="37"/>
  <c r="K42" i="37"/>
  <c r="G6" i="10"/>
  <c r="K62" i="37"/>
  <c r="K60" i="37"/>
  <c r="K46" i="37"/>
  <c r="K43" i="37"/>
  <c r="K45" i="37"/>
  <c r="G8" i="10"/>
  <c r="K26" i="37"/>
  <c r="K95" i="37"/>
  <c r="G14" i="10"/>
  <c r="K7" i="37"/>
  <c r="K9" i="37"/>
  <c r="K25" i="37"/>
  <c r="K8" i="37"/>
  <c r="K28" i="37"/>
  <c r="G7" i="10"/>
  <c r="K80" i="37"/>
  <c r="K96" i="37"/>
  <c r="K61" i="37"/>
  <c r="G13" i="10"/>
  <c r="K30" i="37"/>
  <c r="G10" i="10"/>
  <c r="K63" i="37"/>
  <c r="K27" i="37"/>
  <c r="P47" i="37" l="1"/>
  <c r="P46" i="37"/>
  <c r="P97" i="37"/>
  <c r="P100" i="37"/>
  <c r="P80" i="37"/>
  <c r="P31" i="37"/>
  <c r="P64" i="37"/>
  <c r="P61" i="37"/>
  <c r="P99" i="37"/>
  <c r="P79" i="37"/>
  <c r="P50" i="37"/>
  <c r="P33" i="37"/>
  <c r="P65" i="37"/>
  <c r="P30" i="37"/>
  <c r="P83" i="37"/>
  <c r="P29" i="37"/>
  <c r="P82" i="37"/>
  <c r="P8" i="37"/>
  <c r="P101" i="37"/>
  <c r="P98" i="37"/>
  <c r="P49" i="37"/>
  <c r="P32" i="37"/>
  <c r="P48" i="37"/>
  <c r="P63" i="37"/>
  <c r="P62" i="37"/>
  <c r="P81" i="37"/>
  <c r="P10" i="37"/>
  <c r="P11" i="37"/>
  <c r="P9" i="37"/>
  <c r="P12" i="37"/>
  <c r="G45" i="28"/>
  <c r="G46" i="28" s="1"/>
  <c r="G47" i="28" s="1"/>
  <c r="G56" i="28"/>
  <c r="G57" i="28" s="1"/>
  <c r="G66" i="28"/>
  <c r="G58" i="28" l="1"/>
  <c r="G19" i="28"/>
  <c r="G20" i="28" s="1"/>
  <c r="R36" i="34"/>
  <c r="R34" i="34"/>
  <c r="R47" i="34"/>
  <c r="K12" i="37"/>
  <c r="K52" i="37"/>
  <c r="H14" i="10"/>
  <c r="R50" i="34"/>
  <c r="K32" i="37"/>
  <c r="H9" i="10"/>
  <c r="K31" i="37"/>
  <c r="R22" i="34"/>
  <c r="K85" i="37"/>
  <c r="H16" i="10"/>
  <c r="H15" i="10"/>
  <c r="R19" i="34"/>
  <c r="R37" i="34"/>
  <c r="R46" i="34"/>
  <c r="K84" i="37"/>
  <c r="K68" i="37"/>
  <c r="K35" i="37"/>
  <c r="K66" i="37"/>
  <c r="H11" i="10"/>
  <c r="H13" i="10"/>
  <c r="K104" i="37"/>
  <c r="H6" i="10"/>
  <c r="K87" i="37"/>
  <c r="K34" i="37"/>
  <c r="K70" i="37"/>
  <c r="R54" i="34"/>
  <c r="K86" i="37"/>
  <c r="R30" i="34"/>
  <c r="R32" i="34"/>
  <c r="R49" i="34"/>
  <c r="K10" i="37"/>
  <c r="K11" i="37"/>
  <c r="K14" i="37"/>
  <c r="R40" i="34"/>
  <c r="K36" i="37"/>
  <c r="K65" i="37"/>
  <c r="H7" i="10"/>
  <c r="R42" i="34"/>
  <c r="R38" i="34"/>
  <c r="R44" i="34"/>
  <c r="K102" i="37"/>
  <c r="K53" i="37"/>
  <c r="K51" i="37"/>
  <c r="K49" i="37"/>
  <c r="K69" i="37"/>
  <c r="K105" i="37"/>
  <c r="R21" i="34"/>
  <c r="K15" i="37"/>
  <c r="R52" i="34"/>
  <c r="R43" i="34"/>
  <c r="R51" i="34"/>
  <c r="R35" i="34"/>
  <c r="R33" i="34"/>
  <c r="K101" i="37"/>
  <c r="K50" i="37"/>
  <c r="H10" i="10"/>
  <c r="K82" i="37"/>
  <c r="K33" i="37"/>
  <c r="K83" i="37"/>
  <c r="K67" i="37"/>
  <c r="R31" i="34"/>
  <c r="K13" i="37"/>
  <c r="R24" i="34"/>
  <c r="K100" i="37"/>
  <c r="R29" i="34"/>
  <c r="R20" i="34"/>
  <c r="K48" i="37"/>
  <c r="R39" i="34"/>
  <c r="R53" i="34"/>
  <c r="R27" i="34"/>
  <c r="R28" i="34"/>
  <c r="R45" i="34"/>
  <c r="H8" i="10"/>
  <c r="R48" i="34"/>
  <c r="R23" i="34"/>
  <c r="K103" i="37"/>
  <c r="R26" i="34"/>
  <c r="R41" i="34"/>
  <c r="H12" i="10"/>
  <c r="R25" i="34"/>
  <c r="J15" i="10" l="1"/>
  <c r="G26" i="10" s="1"/>
  <c r="J16" i="10"/>
  <c r="G24" i="10" s="1"/>
  <c r="J7" i="10"/>
  <c r="J11" i="10"/>
  <c r="J14" i="10"/>
  <c r="J6" i="10"/>
  <c r="G25" i="10" s="1"/>
  <c r="J10" i="10"/>
  <c r="D26" i="10" s="1"/>
  <c r="J9" i="10"/>
  <c r="D24" i="10" s="1"/>
  <c r="J8" i="10"/>
  <c r="C26" i="10" s="1"/>
  <c r="J12" i="10"/>
  <c r="E26" i="10" s="1"/>
  <c r="J13" i="10"/>
  <c r="S19" i="34"/>
  <c r="T30" i="34"/>
  <c r="U30" i="34"/>
  <c r="S30" i="34"/>
  <c r="U22" i="34"/>
  <c r="T22" i="34"/>
  <c r="S22" i="34"/>
  <c r="U54" i="34"/>
  <c r="T54" i="34"/>
  <c r="S54" i="34"/>
  <c r="U43" i="34"/>
  <c r="S43" i="34"/>
  <c r="T43" i="34"/>
  <c r="S32" i="34"/>
  <c r="T32" i="34"/>
  <c r="U32" i="34"/>
  <c r="T35" i="34"/>
  <c r="S35" i="34"/>
  <c r="T21" i="34"/>
  <c r="S21" i="34"/>
  <c r="U21" i="34"/>
  <c r="U34" i="34"/>
  <c r="S34" i="34"/>
  <c r="T34" i="34"/>
  <c r="T49" i="34"/>
  <c r="S49" i="34"/>
  <c r="S23" i="34"/>
  <c r="U23" i="34"/>
  <c r="T23" i="34"/>
  <c r="T52" i="34"/>
  <c r="S52" i="34"/>
  <c r="T37" i="34"/>
  <c r="S37" i="34"/>
  <c r="T28" i="34"/>
  <c r="U28" i="34"/>
  <c r="S28" i="34"/>
  <c r="S31" i="34"/>
  <c r="T31" i="34"/>
  <c r="U31" i="34"/>
  <c r="T39" i="34"/>
  <c r="S39" i="34"/>
  <c r="U39" i="34"/>
  <c r="S27" i="34"/>
  <c r="U27" i="34"/>
  <c r="T27" i="34"/>
  <c r="S50" i="34"/>
  <c r="T50" i="34"/>
  <c r="U50" i="34"/>
  <c r="T45" i="34"/>
  <c r="U45" i="34"/>
  <c r="S45" i="34"/>
  <c r="S38" i="34"/>
  <c r="U38" i="34"/>
  <c r="T38" i="34"/>
  <c r="U26" i="34"/>
  <c r="T26" i="34"/>
  <c r="S26" i="34"/>
  <c r="S24" i="34"/>
  <c r="U24" i="34"/>
  <c r="T24" i="34"/>
  <c r="S36" i="34"/>
  <c r="T36" i="34"/>
  <c r="U36" i="34"/>
  <c r="S48" i="34"/>
  <c r="U48" i="34"/>
  <c r="T48" i="34"/>
  <c r="U44" i="34"/>
  <c r="T44" i="34"/>
  <c r="S44" i="34"/>
  <c r="S40" i="34"/>
  <c r="U40" i="34"/>
  <c r="T40" i="34"/>
  <c r="T20" i="34"/>
  <c r="U20" i="34"/>
  <c r="S20" i="34"/>
  <c r="S47" i="34"/>
  <c r="U47" i="34"/>
  <c r="T47" i="34"/>
  <c r="S51" i="34"/>
  <c r="U51" i="34"/>
  <c r="T51" i="34"/>
  <c r="T29" i="34"/>
  <c r="U29" i="34"/>
  <c r="S29" i="34"/>
  <c r="T53" i="34"/>
  <c r="U53" i="34"/>
  <c r="S53" i="34"/>
  <c r="U46" i="34"/>
  <c r="T46" i="34"/>
  <c r="S46" i="34"/>
  <c r="U19" i="34"/>
  <c r="T19" i="34"/>
  <c r="S33" i="34"/>
  <c r="U33" i="34"/>
  <c r="T33" i="34"/>
  <c r="T25" i="34"/>
  <c r="U25" i="34"/>
  <c r="S25" i="34"/>
  <c r="U41" i="34"/>
  <c r="T41" i="34"/>
  <c r="S41" i="34"/>
  <c r="T42" i="34"/>
  <c r="U42" i="34"/>
  <c r="S42" i="34"/>
  <c r="F26" i="10"/>
  <c r="Q9" i="37"/>
  <c r="C24" i="10"/>
  <c r="F24" i="10"/>
  <c r="Q8" i="37"/>
  <c r="Q10" i="37"/>
  <c r="E24" i="10"/>
  <c r="Q12" i="37"/>
  <c r="Q11" i="37"/>
  <c r="Q65" i="37"/>
  <c r="Q79" i="37"/>
  <c r="Q100" i="37"/>
  <c r="Q81" i="37"/>
  <c r="Q62" i="37"/>
  <c r="Q82" i="37"/>
  <c r="Q98" i="37"/>
  <c r="Q61" i="37"/>
  <c r="Q101" i="37"/>
  <c r="Q46" i="37"/>
  <c r="Q63" i="37"/>
  <c r="Q83" i="37"/>
  <c r="Q97" i="37"/>
  <c r="Q99" i="37"/>
  <c r="Q80" i="37"/>
  <c r="Q47" i="37"/>
  <c r="Q64" i="37"/>
  <c r="Q48" i="37"/>
  <c r="Q49" i="37"/>
  <c r="Q50" i="37"/>
  <c r="Q29" i="37"/>
  <c r="Q33" i="37"/>
  <c r="Q32" i="37"/>
  <c r="Q31" i="37"/>
  <c r="Q30" i="37"/>
  <c r="P81" i="15"/>
  <c r="Q81" i="15" s="1"/>
  <c r="N57" i="15"/>
  <c r="Q57" i="15" s="1"/>
  <c r="N75" i="15"/>
  <c r="Q75" i="15" s="1"/>
  <c r="P27" i="15"/>
  <c r="Q27" i="15" s="1"/>
  <c r="N67" i="15"/>
  <c r="Q67" i="15" s="1"/>
  <c r="P71" i="15"/>
  <c r="Q71" i="15" s="1"/>
  <c r="P63" i="15"/>
  <c r="Q63" i="15" s="1"/>
  <c r="N9" i="15"/>
  <c r="Q9" i="15" s="1"/>
  <c r="N10" i="15"/>
  <c r="Q10" i="15" s="1"/>
  <c r="P53" i="15"/>
  <c r="Q53" i="15" s="1"/>
  <c r="N47" i="15"/>
  <c r="Q47" i="15" s="1"/>
  <c r="N11" i="15"/>
  <c r="Q11" i="15" s="1"/>
  <c r="P17" i="15"/>
  <c r="Q17" i="15" s="1"/>
  <c r="N21" i="15"/>
  <c r="Q21" i="15" s="1"/>
  <c r="P35" i="15"/>
  <c r="Q35" i="15" s="1"/>
  <c r="N31" i="15"/>
  <c r="Q31" i="15" s="1"/>
  <c r="P43" i="15"/>
  <c r="Q43" i="15" s="1"/>
  <c r="N39" i="15"/>
  <c r="Q39" i="15" s="1"/>
  <c r="G27" i="10" l="1"/>
  <c r="G28" i="10"/>
  <c r="C34" i="10"/>
  <c r="C33" i="10"/>
  <c r="C25" i="10"/>
  <c r="E25" i="10"/>
  <c r="D25" i="10"/>
  <c r="F25" i="10"/>
  <c r="C27" i="10" l="1"/>
  <c r="C28" i="10"/>
  <c r="E27" i="10"/>
  <c r="E28" i="10"/>
  <c r="F27" i="10"/>
  <c r="F28" i="10"/>
  <c r="D27" i="10"/>
  <c r="D28" i="10"/>
</calcChain>
</file>

<file path=xl/sharedStrings.xml><?xml version="1.0" encoding="utf-8"?>
<sst xmlns="http://schemas.openxmlformats.org/spreadsheetml/2006/main" count="1106" uniqueCount="452">
  <si>
    <t>Personnel lookup</t>
  </si>
  <si>
    <t>RCN NHS nurse</t>
  </si>
  <si>
    <t>TB nurse</t>
  </si>
  <si>
    <t>Local authorities</t>
  </si>
  <si>
    <t>HPT nurse consultant</t>
  </si>
  <si>
    <t>HPT health protection practitioners</t>
  </si>
  <si>
    <t>HPT information officers</t>
  </si>
  <si>
    <t>HPT admin staff</t>
  </si>
  <si>
    <t>LTBR team</t>
  </si>
  <si>
    <t>Geo lead</t>
  </si>
  <si>
    <t>cost</t>
  </si>
  <si>
    <t>Yearly</t>
  </si>
  <si>
    <t>Hourly</t>
  </si>
  <si>
    <t>https://www.rcn.org.uk/employment-and-pay/nhs-pay-scales-2017-18</t>
  </si>
  <si>
    <t>Pay scales for NHS nursing staff in England from 1 April 2017</t>
  </si>
  <si>
    <t>Band</t>
  </si>
  <si>
    <t>Previous spine point</t>
  </si>
  <si>
    <t>2018/19 annual value (£)</t>
  </si>
  <si>
    <t>including Inner London HCAS</t>
  </si>
  <si>
    <t>including Outer London HCAS</t>
  </si>
  <si>
    <t>including FringeHCAS</t>
  </si>
  <si>
    <t>&lt; 1 year</t>
  </si>
  <si>
    <t>1+ years</t>
  </si>
  <si>
    <t>1 - 2 years</t>
  </si>
  <si>
    <t>2 - 3 years</t>
  </si>
  <si>
    <t>3 - 4 years</t>
  </si>
  <si>
    <t>4 - 5 years</t>
  </si>
  <si>
    <t>5 - 6 years</t>
  </si>
  <si>
    <t>6+ years</t>
  </si>
  <si>
    <t>6 - 7years</t>
  </si>
  <si>
    <t>7+ years</t>
  </si>
  <si>
    <t>35,785 </t>
  </si>
  <si>
    <t>7 - 8 years</t>
  </si>
  <si>
    <t>8+ years</t>
  </si>
  <si>
    <t>&lt;1 year</t>
  </si>
  <si>
    <t>5+ years</t>
  </si>
  <si>
    <t>53,906 </t>
  </si>
  <si>
    <t>3- 4 years</t>
  </si>
  <si>
    <t>https://www.nhsemployers.org/your-workforce/pay-and-reward/agenda-for-change/pay-scales/including-hcas</t>
  </si>
  <si>
    <t>Agenda for Change</t>
  </si>
  <si>
    <t>https://www.nhsemployers.org/employershandbook/tchandbook/afc_tc_of_service_handbook_fb.pdf</t>
  </si>
  <si>
    <t>Find and Treat</t>
  </si>
  <si>
    <t>Grade/Band</t>
  </si>
  <si>
    <t>8A</t>
  </si>
  <si>
    <t>8B</t>
  </si>
  <si>
    <t>8C</t>
  </si>
  <si>
    <t>8D</t>
  </si>
  <si>
    <t>https://www.nhsemployers.org/-/media/Employers/Documents/Pay-and-reward/Pay-and-Conditions-Circular-MD-32018-270918.pdf?la=en&amp;hash=01F967307A1568133D47942391371AE2B78F5461</t>
  </si>
  <si>
    <t>Threshold</t>
  </si>
  <si>
    <t>Dose</t>
  </si>
  <si>
    <t>Pyridoxine 10 mg</t>
  </si>
  <si>
    <t>Isoniazid 100mg</t>
  </si>
  <si>
    <t>Priftin 150 mg (rifapentine)</t>
  </si>
  <si>
    <t>weekly</t>
  </si>
  <si>
    <t>daily</t>
  </si>
  <si>
    <t>TOTAL</t>
  </si>
  <si>
    <t>HPT</t>
  </si>
  <si>
    <t>no action</t>
  </si>
  <si>
    <t>invite</t>
  </si>
  <si>
    <t>physical visit</t>
  </si>
  <si>
    <t>IGRA</t>
  </si>
  <si>
    <t>TB review meeting</t>
  </si>
  <si>
    <t>num</t>
  </si>
  <si>
    <t>time (hrs)</t>
  </si>
  <si>
    <t>Freq</t>
  </si>
  <si>
    <t>treatment drugs, doses and costs. *(JOINT FORMULARY COMMITTEE, 2015) †Inflated from 2013 to 2017 and converted from dollars to pounds at 1 to 0.77 (DeLuca et al., 2014).</t>
  </si>
  <si>
    <t>Incident meeting</t>
  </si>
  <si>
    <t>0.039 (£3.90/100)</t>
  </si>
  <si>
    <t>0.77 ($32/32=£24.74/32)</t>
  </si>
  <si>
    <t>0.69 (£19.24/28)</t>
  </si>
  <si>
    <t>0.43 (£12.95/30)</t>
  </si>
  <si>
    <t>0.45 (£25.22/56)</t>
  </si>
  <si>
    <t>max cost</t>
  </si>
  <si>
    <t>30-60</t>
  </si>
  <si>
    <t>Equipment</t>
  </si>
  <si>
    <t>Treatment</t>
  </si>
  <si>
    <t>incidents</t>
  </si>
  <si>
    <t>TB Nurse</t>
  </si>
  <si>
    <t>TB Nurse - Band 6</t>
  </si>
  <si>
    <t>TB Nurse - Band 7</t>
  </si>
  <si>
    <t>phone</t>
  </si>
  <si>
    <t>site visit</t>
  </si>
  <si>
    <t>Lead TB nurse specialist</t>
  </si>
  <si>
    <t>TB Nurse Band 3</t>
  </si>
  <si>
    <t>Screening appointment</t>
  </si>
  <si>
    <t>P White</t>
  </si>
  <si>
    <t>H Kaur</t>
  </si>
  <si>
    <t>https://assets.publishing.service.gov.uk/government/uploads/system/uploads/attachment_data/file/765677/Consultation_document_-_NHS_Pension_Scheme_proposed_changes_to_Scheme_Regulations_1.pdf</t>
  </si>
  <si>
    <t>https://www.nhsemployers.org/your-workforce/pay-and-reward/agenda-for-change/pay-scales/annual</t>
  </si>
  <si>
    <t>2019/20 annual value (£)</t>
  </si>
  <si>
    <t>NHS Pension Scheme: proposed changes to scheme regulations, Dec 2018</t>
  </si>
  <si>
    <t>Superannuation</t>
  </si>
  <si>
    <t>N Green</t>
  </si>
  <si>
    <t>Imperial College London</t>
  </si>
  <si>
    <t>Summary statistics and plots</t>
  </si>
  <si>
    <t>Modelling</t>
  </si>
  <si>
    <t>Input data</t>
  </si>
  <si>
    <t>Salaries lookups</t>
  </si>
  <si>
    <t>On costs</t>
  </si>
  <si>
    <t>Pensions, NI</t>
  </si>
  <si>
    <t>Meetings</t>
  </si>
  <si>
    <t>Cost/ tablet (£)</t>
  </si>
  <si>
    <t>Total cost/ dose (£)</t>
  </si>
  <si>
    <t>Appointments &amp; admin</t>
  </si>
  <si>
    <t>Appointments, administration</t>
  </si>
  <si>
    <t>Drug costs, frequencies</t>
  </si>
  <si>
    <t>Cost (£)</t>
  </si>
  <si>
    <t>Q&amp;A session</t>
  </si>
  <si>
    <t>enquiry phone</t>
  </si>
  <si>
    <t>Blood tests</t>
  </si>
  <si>
    <t>Lookup by band</t>
  </si>
  <si>
    <t>Lookup by job title</t>
  </si>
  <si>
    <t>Admin staff job title</t>
  </si>
  <si>
    <t>Minimum experience (years)</t>
  </si>
  <si>
    <t>Hrs/week</t>
  </si>
  <si>
    <t>https://www.work-day.co.uk/workingdays_holidays_2019.htm</t>
  </si>
  <si>
    <t>https://www.rcn.org.uk/get-help/rcn-advice/annual-leave-and-holiday-pay</t>
  </si>
  <si>
    <t>Working days</t>
  </si>
  <si>
    <t>Admin charge</t>
  </si>
  <si>
    <t>Time (hours)</t>
  </si>
  <si>
    <t>Freq/count</t>
  </si>
  <si>
    <t>HCAS = High Cost Area</t>
  </si>
  <si>
    <t>Travel (miles)</t>
  </si>
  <si>
    <t>Total sample</t>
  </si>
  <si>
    <t>Admin (appt)</t>
  </si>
  <si>
    <t>Admin (registration)</t>
  </si>
  <si>
    <t>Total samples</t>
  </si>
  <si>
    <t>Incidence meeting</t>
  </si>
  <si>
    <t>Drugs</t>
  </si>
  <si>
    <t>Pension &amp; NI</t>
  </si>
  <si>
    <t>Description</t>
  </si>
  <si>
    <t>c_apptnurse</t>
  </si>
  <si>
    <t>c_phleb</t>
  </si>
  <si>
    <t>admin_job</t>
  </si>
  <si>
    <t>c_drive</t>
  </si>
  <si>
    <t>Source</t>
  </si>
  <si>
    <t>Range</t>
  </si>
  <si>
    <t>Phlebotomist (per day)</t>
  </si>
  <si>
    <t>Driving expenses (£/mile)</t>
  </si>
  <si>
    <t>Cost (£)/Time</t>
  </si>
  <si>
    <t>Value</t>
  </si>
  <si>
    <t>p_pos</t>
  </si>
  <si>
    <t>c_Tx</t>
  </si>
  <si>
    <t>Total treatment cost</t>
  </si>
  <si>
    <t>Job Title/Description</t>
  </si>
  <si>
    <t>c_LTBR</t>
  </si>
  <si>
    <t>Paediatrician</t>
  </si>
  <si>
    <t>c_paed</t>
  </si>
  <si>
    <t>Employer contribution rate (post April 2019)</t>
  </si>
  <si>
    <t>Employer contribution rate (pre April 2019)</t>
  </si>
  <si>
    <t>p_NI</t>
  </si>
  <si>
    <t>Available working days (2019) (days)</t>
  </si>
  <si>
    <t>Public holidays (days)</t>
  </si>
  <si>
    <t>On appointment (days)</t>
  </si>
  <si>
    <t>After 5 years service (days)</t>
  </si>
  <si>
    <t>After 10 years service (days)</t>
  </si>
  <si>
    <t>Actual working (days)</t>
  </si>
  <si>
    <t>d_avail</t>
  </si>
  <si>
    <t>d_pubhol</t>
  </si>
  <si>
    <t>d_leave0</t>
  </si>
  <si>
    <t>d_leave5</t>
  </si>
  <si>
    <t>d_leave10</t>
  </si>
  <si>
    <t>d_actual</t>
  </si>
  <si>
    <t>c_IGRA</t>
  </si>
  <si>
    <t>Screening blood/sample</t>
  </si>
  <si>
    <t>c_blood</t>
  </si>
  <si>
    <t>p_pension19</t>
  </si>
  <si>
    <t>p_pension18</t>
  </si>
  <si>
    <t>p_admin</t>
  </si>
  <si>
    <t>Output</t>
  </si>
  <si>
    <t>Inform and advise</t>
  </si>
  <si>
    <t>outbreak_size</t>
  </si>
  <si>
    <t>attendance</t>
  </si>
  <si>
    <t>Attendance</t>
  </si>
  <si>
    <t>Total</t>
  </si>
  <si>
    <t>Flowchart</t>
  </si>
  <si>
    <t>Main model diagram</t>
  </si>
  <si>
    <t>c_Tx*outbreak_size*p_pos</t>
  </si>
  <si>
    <t>c_inform</t>
  </si>
  <si>
    <t>c_enquire</t>
  </si>
  <si>
    <t>c_allTx</t>
  </si>
  <si>
    <t>treatments</t>
  </si>
  <si>
    <t>num screened</t>
  </si>
  <si>
    <t>Birmingham 2018 data</t>
  </si>
  <si>
    <t>advise &amp; inform</t>
  </si>
  <si>
    <t>Default value</t>
  </si>
  <si>
    <t>Total costs</t>
  </si>
  <si>
    <t>other</t>
  </si>
  <si>
    <t>default</t>
  </si>
  <si>
    <t>prop LTBI</t>
  </si>
  <si>
    <t>costs (£)</t>
  </si>
  <si>
    <t>one-way sensitivity</t>
  </si>
  <si>
    <t>Director of Public Health</t>
  </si>
  <si>
    <t>School nurse</t>
  </si>
  <si>
    <t>Communications/media team</t>
  </si>
  <si>
    <t>Microbiologist</t>
  </si>
  <si>
    <t>consultant</t>
  </si>
  <si>
    <t>incident meeting</t>
  </si>
  <si>
    <t>Staff</t>
  </si>
  <si>
    <t>Salaries</t>
  </si>
  <si>
    <t>Oncosts</t>
  </si>
  <si>
    <t>Appt Admin</t>
  </si>
  <si>
    <t>c_QandA</t>
  </si>
  <si>
    <t>t_QandA</t>
  </si>
  <si>
    <t>t_inform</t>
  </si>
  <si>
    <t>t_siteRA</t>
  </si>
  <si>
    <t>t_phoneRA</t>
  </si>
  <si>
    <t>t_site_screen</t>
  </si>
  <si>
    <t>review meeting</t>
  </si>
  <si>
    <t>d_site</t>
  </si>
  <si>
    <t>Incidents</t>
  </si>
  <si>
    <t>Average driving distance for site (miles)</t>
  </si>
  <si>
    <t>RA phone</t>
  </si>
  <si>
    <t>RA site</t>
  </si>
  <si>
    <t>education</t>
  </si>
  <si>
    <t>screen</t>
  </si>
  <si>
    <t>setting</t>
  </si>
  <si>
    <t>RA</t>
  </si>
  <si>
    <t>identified</t>
  </si>
  <si>
    <t>path_id</t>
  </si>
  <si>
    <t>total cost</t>
  </si>
  <si>
    <t>Birmingham results</t>
  </si>
  <si>
    <t>min value</t>
  </si>
  <si>
    <t>max value</t>
  </si>
  <si>
    <t>baseline</t>
  </si>
  <si>
    <t>https://peltiertech.com/excel-box-and-whisker-diagrams-box-plots/</t>
  </si>
  <si>
    <t>baseline-min</t>
  </si>
  <si>
    <t>max-baseline</t>
  </si>
  <si>
    <t>Phone</t>
  </si>
  <si>
    <t>Site visit</t>
  </si>
  <si>
    <t>Invite</t>
  </si>
  <si>
    <t>Physical visit</t>
  </si>
  <si>
    <t>Enquiry phoneline</t>
  </si>
  <si>
    <t>2*c_tb_nurse*t_siteRA*(1 + p_pensionNI) + c_drive*d_site</t>
  </si>
  <si>
    <t>c_inc_meet_salary*(1 + p_pensionNI)</t>
  </si>
  <si>
    <t>t_incid_meet</t>
  </si>
  <si>
    <t>t_meet_review</t>
  </si>
  <si>
    <t>Initial incident meeting</t>
  </si>
  <si>
    <t>Notes</t>
  </si>
  <si>
    <t>Cavany (2018) Thorax</t>
  </si>
  <si>
    <t>Jit &amp; White, NICE</t>
  </si>
  <si>
    <t>Treatment cost</t>
  </si>
  <si>
    <t>6mo rif/rifat/etham/pyri</t>
  </si>
  <si>
    <t>3mo rif/iso/pyri</t>
  </si>
  <si>
    <t>SELECT FROM:</t>
  </si>
  <si>
    <t>Reference costs &amp; BNF</t>
  </si>
  <si>
    <t>H Kaur- £100</t>
  </si>
  <si>
    <t>NHS reference cost 17/18 N28AF</t>
  </si>
  <si>
    <t>Appointment TB Nurse cost</t>
  </si>
  <si>
    <t>TB consultant</t>
  </si>
  <si>
    <t>Lead TB nurse</t>
  </si>
  <si>
    <t>https://www.nhsemployers.org/pay-pensions-and-reward/medical-staff</t>
  </si>
  <si>
    <t>HPP</t>
  </si>
  <si>
    <t>Local lead</t>
  </si>
  <si>
    <t>Annex A: Section 2: Consultant (2003 contract) basic salary and allowances</t>
  </si>
  <si>
    <t>£ per annum</t>
  </si>
  <si>
    <t>1 (starting)</t>
  </si>
  <si>
    <t>2 (1 year)</t>
  </si>
  <si>
    <t>3 (2 years)</t>
  </si>
  <si>
    <t>4 (3 years)</t>
  </si>
  <si>
    <t>5 (4-8 years)</t>
  </si>
  <si>
    <t>6 (9-13 years)</t>
  </si>
  <si>
    <t>7 (14-18 years)</t>
  </si>
  <si>
    <t>8 (19 years)</t>
  </si>
  <si>
    <t>mean</t>
  </si>
  <si>
    <t>TB outcome review meeting</t>
  </si>
  <si>
    <t>BIRMINGHAM</t>
  </si>
  <si>
    <t>c_TST</t>
  </si>
  <si>
    <t>Mantoux skin test</t>
  </si>
  <si>
    <t>(c_tb_nurse + c_hpp + c_MD)*t_QandA*(1 + p_pensionNI)</t>
  </si>
  <si>
    <t>c_tb_nurse*t_helpline*(1 + p_pensionNI)</t>
  </si>
  <si>
    <t>TB incident investigation model</t>
  </si>
  <si>
    <t>SCREENING</t>
  </si>
  <si>
    <t>Total event costs</t>
  </si>
  <si>
    <t>c_inc_meet_BIRM</t>
  </si>
  <si>
    <t>c_siteRA_BIRM</t>
  </si>
  <si>
    <t>c_phoneRA_BIRM</t>
  </si>
  <si>
    <t>c_site_screen_phleb_BIRM</t>
  </si>
  <si>
    <t>c_site_screen_nurse_BIRM</t>
  </si>
  <si>
    <t>TB Nurse - Band 3 (Clerical Officer)</t>
  </si>
  <si>
    <t>max_screen</t>
  </si>
  <si>
    <t>Maximum number of individuals screened (IGRA per day)</t>
  </si>
  <si>
    <t>PHE HPP</t>
  </si>
  <si>
    <r>
      <t>TOTAL (</t>
    </r>
    <r>
      <rPr>
        <i/>
        <sz val="11"/>
        <color theme="1"/>
        <rFont val="Calibri"/>
        <family val="2"/>
        <scheme val="minor"/>
      </rPr>
      <t>c_meeting_review</t>
    </r>
    <r>
      <rPr>
        <sz val="11"/>
        <color theme="1"/>
        <rFont val="Calibri"/>
        <family val="2"/>
        <scheme val="minor"/>
      </rPr>
      <t>)</t>
    </r>
  </si>
  <si>
    <r>
      <t>TOTAL (</t>
    </r>
    <r>
      <rPr>
        <i/>
        <sz val="11"/>
        <rFont val="Calibri"/>
        <family val="2"/>
        <scheme val="minor"/>
      </rPr>
      <t>c_incid_meet_salary_BIRM</t>
    </r>
    <r>
      <rPr>
        <sz val="11"/>
        <rFont val="Calibri"/>
        <family val="2"/>
        <scheme val="minor"/>
      </rPr>
      <t>)</t>
    </r>
  </si>
  <si>
    <r>
      <t>TOTAL (</t>
    </r>
    <r>
      <rPr>
        <i/>
        <sz val="11"/>
        <color theme="1"/>
        <rFont val="Calibri"/>
        <family val="2"/>
        <scheme val="minor"/>
      </rPr>
      <t>c_meeting_review_BIRM</t>
    </r>
    <r>
      <rPr>
        <sz val="11"/>
        <color theme="1"/>
        <rFont val="Calibri"/>
        <family val="2"/>
        <scheme val="minor"/>
      </rPr>
      <t>)</t>
    </r>
  </si>
  <si>
    <t>c_tb_nurse_7*t_phone_preRA*(1 + p_pensionNI)</t>
  </si>
  <si>
    <t>t_phone_preRA</t>
  </si>
  <si>
    <t>Duration of review incident meeting (hrs)</t>
  </si>
  <si>
    <t>Duration of initial incident meeting (hrs)</t>
  </si>
  <si>
    <t>Site visit screening (hrs)</t>
  </si>
  <si>
    <t>Phone call pre-site visit risk assessment (hrs)</t>
  </si>
  <si>
    <t>Phone call risk assessment (hrs)</t>
  </si>
  <si>
    <t>Site visit risk assessment (hrs)</t>
  </si>
  <si>
    <t>Inform and advise (hrs)</t>
  </si>
  <si>
    <t>Q&amp;A (hrs)</t>
  </si>
  <si>
    <t>num identified</t>
  </si>
  <si>
    <t>num_identified</t>
  </si>
  <si>
    <t>IT admin for identified and arranging screening appt (hrs)</t>
  </si>
  <si>
    <t>IT admin registration after screening (hrs)</t>
  </si>
  <si>
    <t>t_admin_post</t>
  </si>
  <si>
    <t>t_admin_appt</t>
  </si>
  <si>
    <t>t_admin_id</t>
  </si>
  <si>
    <t>IT admin for identified before on-site screening (hrs)</t>
  </si>
  <si>
    <t>Admin (identified)</t>
  </si>
  <si>
    <t>Admin (screened)</t>
  </si>
  <si>
    <t>((c_tb_nurse + c_hpp)*t_site_screen*ceiling(outbreak_size/max_screen) + c_tb_nurse*(t_admin_id*num_identified+t_admin_post*outbreak_size))*(1 + p_pensionNI) + c_sample*outbreak_size + c_inc_meet + (c_phleb*3 + c_drive*d_site)*ceiling(outbreak_size/max_screen)</t>
  </si>
  <si>
    <t>c_inc_meet + c_phone _preRA + c_siteRA + c_site_screen + c_QandA + c_enquire + c_allTx + c_rev_meet</t>
  </si>
  <si>
    <t>c_inc_meet + c_phone_preRA + c_siteRA + c_site_screen + c_QandA + c_allTx + c_rev_meet</t>
  </si>
  <si>
    <t>c_inc_meet + c_phone_preRA + c_siteRA + c_site_screen + c_allTx + c_rev_meet</t>
  </si>
  <si>
    <t>c_inc_meet + c_phone_preRA + c_siteRA + c_invite + c_allTx + c_rev_meet</t>
  </si>
  <si>
    <t>c_inc_meet + c_phone_preRA + c_siteRA + c_inform</t>
  </si>
  <si>
    <t>c_inc_meet + c_phone_preRA + c_siteRA</t>
  </si>
  <si>
    <t>c_inc_meet + c_phone_preRA + c_siteRA + c_site_screen + c_QandA + c_enquire + c_allTx + c_rev_meet</t>
  </si>
  <si>
    <t>Birmingham incident data</t>
  </si>
  <si>
    <t>year</t>
  </si>
  <si>
    <t>latent</t>
  </si>
  <si>
    <t>platent</t>
  </si>
  <si>
    <t>pscreen</t>
  </si>
  <si>
    <t>hospital/clinic/care centre</t>
  </si>
  <si>
    <t>factory/workplace</t>
  </si>
  <si>
    <t>p_site_screen</t>
  </si>
  <si>
    <t>LTBI positive</t>
  </si>
  <si>
    <t>screen invite</t>
  </si>
  <si>
    <t>screen site</t>
  </si>
  <si>
    <t>Birmingham pathway data</t>
  </si>
  <si>
    <t>pRA phone</t>
  </si>
  <si>
    <t>pRA site</t>
  </si>
  <si>
    <t>pscreen invite</t>
  </si>
  <si>
    <t>pscreen site</t>
  </si>
  <si>
    <t>REARRANGE FOR PLOT:</t>
  </si>
  <si>
    <t>screen_type</t>
  </si>
  <si>
    <t>id_per_incid</t>
  </si>
  <si>
    <t>screen_per_incid</t>
  </si>
  <si>
    <t>latent_per_incid</t>
  </si>
  <si>
    <t>c_Tx*n_latent</t>
  </si>
  <si>
    <t>(c_apptnurse*outbreak_size + c_nurse_3*(t_admin_appt*num_identified +t_admin_post*outbreak_size))*(1 + p_pensionNI) + c_blood*outbreak_size</t>
  </si>
  <si>
    <t>p_pensionNI</t>
  </si>
  <si>
    <t>prop invite</t>
  </si>
  <si>
    <t>prop screen</t>
  </si>
  <si>
    <t>prop pos</t>
  </si>
  <si>
    <t>cost invite</t>
  </si>
  <si>
    <t>cost site</t>
  </si>
  <si>
    <t>commercial</t>
  </si>
  <si>
    <t>me</t>
  </si>
  <si>
    <t>https://mbounthavong.com/blog/2018/5/26/communicating-data-effectively-with-data-visualizations-tordo-diagram</t>
  </si>
  <si>
    <t>Drug me</t>
  </si>
  <si>
    <t>Rifih©300/150  (rifampicin/isoniazid)</t>
  </si>
  <si>
    <t>Cost of maging an active TB case, including treatment of index case, and investigation, and treatment where appropriate, of contacts</t>
  </si>
  <si>
    <t>tiol Insurance (NI)</t>
  </si>
  <si>
    <t>https://www.gov.uk/tiol-insurance-rates-letters</t>
  </si>
  <si>
    <t xml:space="preserve">Exterl screening </t>
  </si>
  <si>
    <t>Cavany (2018) “Should NICE Reconsider the 2016 UK Guidelines on TB Contact Tracing? A Cost-Effectiveness Alysis of Contact Investigations in London.” Thorax</t>
  </si>
  <si>
    <t>HPT TB co-orditor</t>
  </si>
  <si>
    <t>Laboratory team/mager</t>
  </si>
  <si>
    <t>https://excelchamps.com/blog/tornado-chart/</t>
  </si>
  <si>
    <t>Number identified (min: 10, max: 1000)</t>
  </si>
  <si>
    <t>Proportion screened (min: 0.1, max: 1)</t>
  </si>
  <si>
    <t>Proportion positive (min: 0, max: 1)</t>
  </si>
  <si>
    <t>Low</t>
  </si>
  <si>
    <t>High</t>
  </si>
  <si>
    <t>Name</t>
  </si>
  <si>
    <t>every 1 week</t>
  </si>
  <si>
    <t>TB Nurse (per hr)</t>
  </si>
  <si>
    <t>HPP (per hr)</t>
  </si>
  <si>
    <t>IS THIS PER PERSON OR IN TOTAL?</t>
  </si>
  <si>
    <t>ASSUME WHOLE DAY COST FOR NURSE AND HPP?</t>
  </si>
  <si>
    <t>WHEN IS THIS THE CASE RATHER THAN PHLEB?</t>
  </si>
  <si>
    <t>((4*c_tb_nurse + c_hpp)*t_site_screen*ceiling(outbreak_size/max_screen) + c_tb_nurse*(t_admin_id*num_identified + t_admin_post*outbreak_size))*(1 + p_pensionNI) + c_sample*outbreak_size + c_inc_meet + c_drive*d_site*ceiling(outbreak_size/max_screen)</t>
  </si>
  <si>
    <t>HOW MUCH TIME IS SPENT ON THIS?</t>
  </si>
  <si>
    <t>Tornado plots</t>
  </si>
  <si>
    <t>HPP (Inner London)</t>
  </si>
  <si>
    <t>HPP (outside)</t>
  </si>
  <si>
    <t>https://www.jobs.nhs.uk/showvac/1/2/915507016</t>
  </si>
  <si>
    <t>c_hpp_london</t>
  </si>
  <si>
    <t>job advert:</t>
  </si>
  <si>
    <t>X</t>
  </si>
  <si>
    <t>Y</t>
  </si>
  <si>
    <t>vertical line at baseline:</t>
  </si>
  <si>
    <t>INNER LONDON</t>
  </si>
  <si>
    <t>c_nurse_3_london</t>
  </si>
  <si>
    <t>c_nurse_6_london</t>
  </si>
  <si>
    <t>c_nurse_7_london</t>
  </si>
  <si>
    <t>c_nurse_lead_london</t>
  </si>
  <si>
    <t xml:space="preserve">   (Inner London)</t>
  </si>
  <si>
    <t xml:space="preserve">    (Inner London)</t>
  </si>
  <si>
    <t xml:space="preserve">   (Inner London) </t>
  </si>
  <si>
    <t>yearly</t>
  </si>
  <si>
    <t>c_TBphys_london</t>
  </si>
  <si>
    <t>c_nurse_3_outside</t>
  </si>
  <si>
    <t>c_nurse_7_outside</t>
  </si>
  <si>
    <t>c_nurse_lead_outside</t>
  </si>
  <si>
    <t>c_hpp_outside</t>
  </si>
  <si>
    <t>c_nurse_6_outside</t>
  </si>
  <si>
    <t>c_TBphys_outside</t>
  </si>
  <si>
    <t>c_invite_BIRM</t>
  </si>
  <si>
    <t>Outpatient appt for test positive</t>
  </si>
  <si>
    <t>(Cavany, Vynnycky, Anderson, et al. 2018) HRG code WF02B</t>
  </si>
  <si>
    <t>c_fup_appt</t>
  </si>
  <si>
    <t>Follow-up appt</t>
  </si>
  <si>
    <t>c_fup</t>
  </si>
  <si>
    <t>All appointments</t>
  </si>
  <si>
    <t>Total cost calcs for scenario analysis</t>
  </si>
  <si>
    <t>Scenarios</t>
  </si>
  <si>
    <t>nathan.green@imperial.ac.uk</t>
  </si>
  <si>
    <t>TB incident contact investigation costing</t>
  </si>
  <si>
    <t>Raw data from tab:incident, tab:pathways and rearranged using rearrange_birm_data_for scenario_analysis.R script</t>
  </si>
  <si>
    <t>Scenario total cost calculations</t>
  </si>
  <si>
    <t>This is a spreadsheet model to calculate the pathway costs for TB incident investigation in England.
These aggregated costs are then used within scenarios to calculate total outbreak investigation costs in a given period of time.
Different incidents are defined by setting (school, workplace, etc) which determines the numbers screened and prevalence.
Actual incident statistics are provided for Birmingham.
One-way and two-way deterministic sensitivity analyses are calculated for LTBI positivity and numbers screened.</t>
  </si>
  <si>
    <t>HK: Correct and distance can vary – but on average 20 miles return (15/8/19)</t>
  </si>
  <si>
    <t>HK: Based on numbers, if the number to screen is around 25, then nurses can do self, any number greater than this then we hire a company who will provide phlebotomists (15/8/19)</t>
  </si>
  <si>
    <t>&lt;25 screened</t>
  </si>
  <si>
    <t>HK: No…..but I guess for the study they should be? (15/8/19)</t>
  </si>
  <si>
    <t>rearrange for plot</t>
  </si>
  <si>
    <t>NOT INCLUDED</t>
  </si>
  <si>
    <t>c_tb_nurse*t_inform_pp*n_inform*(1 + p_pensionNI)</t>
  </si>
  <si>
    <t>t_inform_pp</t>
  </si>
  <si>
    <t>??</t>
  </si>
  <si>
    <t>Inform and advise per person (hrs)</t>
  </si>
  <si>
    <t>t_enquire</t>
  </si>
  <si>
    <t>Enquiry phone line time (hrs)</t>
  </si>
  <si>
    <t>screen incidents</t>
  </si>
  <si>
    <t>assessed incidents</t>
  </si>
  <si>
    <t>inform incidents</t>
  </si>
  <si>
    <t>Proportion assessed incidents screened</t>
  </si>
  <si>
    <t>p_screen_incid</t>
  </si>
  <si>
    <t>Commercial/retail</t>
  </si>
  <si>
    <t>Education</t>
  </si>
  <si>
    <t>Factory/workplace</t>
  </si>
  <si>
    <t>Homeless accommodation</t>
  </si>
  <si>
    <t>Hospital/clinic/care centre</t>
  </si>
  <si>
    <t>Other</t>
  </si>
  <si>
    <t>pinform</t>
  </si>
  <si>
    <t>inform</t>
  </si>
  <si>
    <t>Invited screening</t>
  </si>
  <si>
    <t>Site visit screening</t>
  </si>
  <si>
    <t>total</t>
  </si>
  <si>
    <t>pp_identified</t>
  </si>
  <si>
    <t>pp_screened</t>
  </si>
  <si>
    <t>pp_latent</t>
  </si>
  <si>
    <t>Proportion site visit screening of screening events</t>
  </si>
  <si>
    <t>TODO: not updated</t>
  </si>
  <si>
    <t>cost inform</t>
  </si>
  <si>
    <t>prop inform</t>
  </si>
  <si>
    <t>Proportion informed (min: 0, max: 1)</t>
  </si>
  <si>
    <t>Proportion invite (min: 0, max: 1)</t>
  </si>
  <si>
    <t>Regional lead</t>
  </si>
  <si>
    <t>Case manager</t>
  </si>
  <si>
    <t>Hourly (incl holidays)</t>
  </si>
  <si>
    <t>Actual working (hours)</t>
  </si>
  <si>
    <t>d_actual_hrs</t>
  </si>
  <si>
    <t>38 holiday, 242 working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</si>
</sst>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£&quot;#,##0;[Red]\-&quot;£&quot;#,##0"/>
    <numFmt numFmtId="8" formatCode="&quot;£&quot;#,##0.00;[Red]\-&quot;£&quot;#,##0.00"/>
    <numFmt numFmtId="164" formatCode="&quot;£&quot;#,##0.00"/>
    <numFmt numFmtId="165" formatCode="&quot;£&quot;#,##0"/>
    <numFmt numFmtId="166" formatCode="0.000"/>
    <numFmt numFmtId="167" formatCode="0.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i/>
      <strike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00000"/>
      <name val="Calibri"/>
      <family val="2"/>
      <scheme val="minor"/>
    </font>
    <font>
      <strike/>
      <u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trike/>
      <sz val="11"/>
      <color rgb="FFC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</cellStyleXfs>
  <cellXfs count="138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6" fontId="0" fillId="0" borderId="0" xfId="0" applyNumberFormat="1"/>
    <xf numFmtId="8" fontId="0" fillId="0" borderId="0" xfId="0" applyNumberFormat="1"/>
    <xf numFmtId="0" fontId="2" fillId="0" borderId="0" xfId="1"/>
    <xf numFmtId="3" fontId="0" fillId="0" borderId="0" xfId="0" applyNumberFormat="1"/>
    <xf numFmtId="4" fontId="0" fillId="0" borderId="0" xfId="0" applyNumberFormat="1"/>
    <xf numFmtId="3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0" fontId="0" fillId="0" borderId="8" xfId="0" applyBorder="1"/>
    <xf numFmtId="0" fontId="0" fillId="0" borderId="9" xfId="0" applyBorder="1"/>
    <xf numFmtId="164" fontId="0" fillId="0" borderId="2" xfId="0" applyNumberFormat="1" applyBorder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/>
    <xf numFmtId="165" fontId="0" fillId="0" borderId="12" xfId="0" applyNumberFormat="1" applyBorder="1"/>
    <xf numFmtId="0" fontId="0" fillId="0" borderId="13" xfId="0" applyBorder="1"/>
    <xf numFmtId="0" fontId="3" fillId="0" borderId="0" xfId="0" applyFont="1"/>
    <xf numFmtId="0" fontId="0" fillId="0" borderId="16" xfId="0" applyBorder="1"/>
    <xf numFmtId="0" fontId="1" fillId="0" borderId="0" xfId="0" applyFont="1" applyAlignment="1">
      <alignment horizontal="center"/>
    </xf>
    <xf numFmtId="0" fontId="0" fillId="0" borderId="17" xfId="0" applyBorder="1"/>
    <xf numFmtId="0" fontId="4" fillId="0" borderId="0" xfId="0" applyFont="1" applyAlignment="1">
      <alignment vertical="center"/>
    </xf>
    <xf numFmtId="2" fontId="0" fillId="0" borderId="0" xfId="0" applyNumberFormat="1"/>
    <xf numFmtId="0" fontId="5" fillId="0" borderId="0" xfId="0" applyFont="1"/>
    <xf numFmtId="164" fontId="5" fillId="0" borderId="0" xfId="0" applyNumberFormat="1" applyFont="1"/>
    <xf numFmtId="0" fontId="8" fillId="0" borderId="0" xfId="0" applyFont="1"/>
    <xf numFmtId="0" fontId="5" fillId="0" borderId="17" xfId="0" applyFont="1" applyBorder="1"/>
    <xf numFmtId="0" fontId="7" fillId="5" borderId="0" xfId="0" applyFont="1" applyFill="1" applyAlignment="1">
      <alignment horizontal="center"/>
    </xf>
    <xf numFmtId="17" fontId="0" fillId="0" borderId="0" xfId="0" applyNumberFormat="1"/>
    <xf numFmtId="10" fontId="0" fillId="0" borderId="0" xfId="0" applyNumberFormat="1"/>
    <xf numFmtId="0" fontId="11" fillId="0" borderId="0" xfId="0" applyFont="1"/>
    <xf numFmtId="164" fontId="1" fillId="0" borderId="17" xfId="0" applyNumberFormat="1" applyFont="1" applyBorder="1"/>
    <xf numFmtId="164" fontId="12" fillId="0" borderId="17" xfId="0" applyNumberFormat="1" applyFont="1" applyBorder="1"/>
    <xf numFmtId="0" fontId="1" fillId="0" borderId="17" xfId="0" applyFont="1" applyBorder="1"/>
    <xf numFmtId="0" fontId="0" fillId="0" borderId="0" xfId="0" applyAlignment="1">
      <alignment horizontal="left" vertical="center"/>
    </xf>
    <xf numFmtId="0" fontId="6" fillId="0" borderId="0" xfId="0" applyFont="1"/>
    <xf numFmtId="0" fontId="1" fillId="0" borderId="0" xfId="0" applyFont="1" applyAlignment="1">
      <alignment horizontal="center" vertical="center"/>
    </xf>
    <xf numFmtId="164" fontId="0" fillId="0" borderId="19" xfId="0" applyNumberFormat="1" applyBorder="1"/>
    <xf numFmtId="6" fontId="0" fillId="0" borderId="19" xfId="0" applyNumberFormat="1" applyBorder="1"/>
    <xf numFmtId="2" fontId="0" fillId="0" borderId="19" xfId="0" applyNumberFormat="1" applyBorder="1"/>
    <xf numFmtId="0" fontId="0" fillId="0" borderId="19" xfId="0" applyBorder="1"/>
    <xf numFmtId="0" fontId="1" fillId="2" borderId="14" xfId="0" applyFont="1" applyFill="1" applyBorder="1" applyAlignment="1">
      <alignment horizontal="center"/>
    </xf>
    <xf numFmtId="0" fontId="13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justify" vertical="center" wrapText="1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8" fillId="0" borderId="16" xfId="0" applyFont="1" applyBorder="1"/>
    <xf numFmtId="17" fontId="13" fillId="0" borderId="0" xfId="0" applyNumberFormat="1" applyFont="1"/>
    <xf numFmtId="0" fontId="8" fillId="0" borderId="0" xfId="0" applyFont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0" fillId="0" borderId="1" xfId="0" applyBorder="1" applyAlignment="1">
      <alignment horizontal="justify" vertical="center"/>
    </xf>
    <xf numFmtId="0" fontId="0" fillId="0" borderId="0" xfId="0" applyAlignment="1">
      <alignment horizontal="justify" vertical="center" wrapText="1"/>
    </xf>
    <xf numFmtId="0" fontId="0" fillId="0" borderId="1" xfId="0" applyBorder="1" applyAlignment="1">
      <alignment horizontal="left" vertical="center"/>
    </xf>
    <xf numFmtId="0" fontId="0" fillId="0" borderId="3" xfId="0" applyBorder="1" applyAlignment="1">
      <alignment horizontal="justify" vertical="center"/>
    </xf>
    <xf numFmtId="0" fontId="0" fillId="0" borderId="16" xfId="0" applyBorder="1" applyAlignment="1">
      <alignment horizontal="justify" vertical="center" wrapText="1"/>
    </xf>
    <xf numFmtId="0" fontId="1" fillId="0" borderId="0" xfId="0" applyFont="1" applyAlignment="1">
      <alignment horizontal="left" vertical="center"/>
    </xf>
    <xf numFmtId="0" fontId="8" fillId="0" borderId="0" xfId="0" applyFont="1" applyAlignment="1">
      <alignment horizontal="left" vertical="top"/>
    </xf>
    <xf numFmtId="0" fontId="6" fillId="0" borderId="0" xfId="0" applyFont="1" applyAlignment="1">
      <alignment horizontal="right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4" borderId="0" xfId="0" applyFill="1" applyAlignment="1">
      <alignment horizontal="right"/>
    </xf>
    <xf numFmtId="0" fontId="9" fillId="0" borderId="0" xfId="0" applyFont="1" applyAlignment="1">
      <alignment horizontal="center" vertical="center"/>
    </xf>
    <xf numFmtId="0" fontId="12" fillId="7" borderId="23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/>
    </xf>
    <xf numFmtId="0" fontId="15" fillId="0" borderId="0" xfId="0" applyFont="1"/>
    <xf numFmtId="0" fontId="16" fillId="0" borderId="0" xfId="0" applyFont="1"/>
    <xf numFmtId="0" fontId="1" fillId="0" borderId="17" xfId="0" applyFont="1" applyBorder="1" applyAlignment="1">
      <alignment horizontal="left" vertical="center"/>
    </xf>
    <xf numFmtId="0" fontId="1" fillId="0" borderId="17" xfId="0" applyFont="1" applyBorder="1" applyAlignment="1">
      <alignment horizontal="left"/>
    </xf>
    <xf numFmtId="1" fontId="0" fillId="0" borderId="0" xfId="0" applyNumberFormat="1"/>
    <xf numFmtId="0" fontId="1" fillId="0" borderId="17" xfId="0" applyFont="1" applyBorder="1" applyAlignment="1">
      <alignment horizontal="right"/>
    </xf>
    <xf numFmtId="0" fontId="17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right"/>
    </xf>
    <xf numFmtId="0" fontId="17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6" fontId="17" fillId="0" borderId="0" xfId="0" applyNumberFormat="1" applyFont="1"/>
    <xf numFmtId="164" fontId="0" fillId="3" borderId="0" xfId="0" applyNumberFormat="1" applyFill="1"/>
    <xf numFmtId="0" fontId="11" fillId="6" borderId="0" xfId="0" applyFont="1" applyFill="1"/>
    <xf numFmtId="0" fontId="0" fillId="6" borderId="0" xfId="0" applyFill="1"/>
    <xf numFmtId="0" fontId="2" fillId="6" borderId="0" xfId="1" applyFill="1"/>
    <xf numFmtId="0" fontId="2" fillId="6" borderId="0" xfId="1" quotePrefix="1" applyFill="1"/>
    <xf numFmtId="0" fontId="10" fillId="6" borderId="0" xfId="0" applyFont="1" applyFill="1"/>
    <xf numFmtId="0" fontId="6" fillId="6" borderId="0" xfId="0" applyFont="1" applyFill="1"/>
    <xf numFmtId="0" fontId="0" fillId="3" borderId="0" xfId="0" applyFill="1" applyAlignment="1">
      <alignment horizontal="center"/>
    </xf>
    <xf numFmtId="165" fontId="0" fillId="8" borderId="24" xfId="0" applyNumberFormat="1" applyFill="1" applyBorder="1"/>
    <xf numFmtId="165" fontId="0" fillId="8" borderId="10" xfId="0" applyNumberFormat="1" applyFill="1" applyBorder="1"/>
    <xf numFmtId="6" fontId="0" fillId="8" borderId="10" xfId="0" applyNumberFormat="1" applyFill="1" applyBorder="1"/>
    <xf numFmtId="164" fontId="17" fillId="0" borderId="0" xfId="0" applyNumberFormat="1" applyFont="1"/>
    <xf numFmtId="0" fontId="0" fillId="3" borderId="0" xfId="0" applyFill="1"/>
    <xf numFmtId="0" fontId="20" fillId="0" borderId="0" xfId="0" applyFont="1"/>
    <xf numFmtId="0" fontId="20" fillId="0" borderId="0" xfId="0" applyFont="1" applyAlignment="1">
      <alignment vertical="center" wrapText="1"/>
    </xf>
    <xf numFmtId="0" fontId="0" fillId="8" borderId="0" xfId="0" applyFill="1"/>
    <xf numFmtId="166" fontId="0" fillId="0" borderId="0" xfId="0" applyNumberFormat="1"/>
    <xf numFmtId="165" fontId="1" fillId="0" borderId="10" xfId="0" applyNumberFormat="1" applyFont="1" applyBorder="1"/>
    <xf numFmtId="165" fontId="0" fillId="0" borderId="10" xfId="0" applyNumberFormat="1" applyBorder="1"/>
    <xf numFmtId="6" fontId="21" fillId="0" borderId="0" xfId="0" applyNumberFormat="1" applyFont="1"/>
    <xf numFmtId="0" fontId="21" fillId="0" borderId="0" xfId="0" applyFont="1"/>
    <xf numFmtId="3" fontId="0" fillId="9" borderId="0" xfId="0" applyNumberFormat="1" applyFill="1"/>
    <xf numFmtId="4" fontId="0" fillId="9" borderId="0" xfId="0" applyNumberFormat="1" applyFill="1"/>
    <xf numFmtId="3" fontId="0" fillId="9" borderId="0" xfId="0" applyNumberFormat="1" applyFill="1" applyAlignment="1">
      <alignment horizontal="right"/>
    </xf>
    <xf numFmtId="3" fontId="0" fillId="9" borderId="5" xfId="0" applyNumberFormat="1" applyFill="1" applyBorder="1"/>
    <xf numFmtId="3" fontId="0" fillId="9" borderId="5" xfId="0" applyNumberFormat="1" applyFill="1" applyBorder="1" applyAlignment="1">
      <alignment horizontal="right"/>
    </xf>
    <xf numFmtId="167" fontId="0" fillId="0" borderId="2" xfId="0" applyNumberFormat="1" applyBorder="1"/>
    <xf numFmtId="0" fontId="1" fillId="0" borderId="1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0" fillId="0" borderId="0" xfId="0" applyFont="1" applyAlignment="1">
      <alignment vertical="center"/>
    </xf>
    <xf numFmtId="8" fontId="20" fillId="0" borderId="0" xfId="0" applyNumberFormat="1" applyFont="1" applyAlignment="1">
      <alignment vertical="center"/>
    </xf>
    <xf numFmtId="0" fontId="22" fillId="0" borderId="0" xfId="0" applyFont="1" applyAlignment="1">
      <alignment horizontal="right"/>
    </xf>
    <xf numFmtId="165" fontId="0" fillId="8" borderId="0" xfId="0" applyNumberFormat="1" applyFill="1"/>
    <xf numFmtId="164" fontId="0" fillId="8" borderId="0" xfId="0" applyNumberFormat="1" applyFill="1"/>
    <xf numFmtId="6" fontId="0" fillId="8" borderId="0" xfId="0" applyNumberFormat="1" applyFill="1"/>
    <xf numFmtId="0" fontId="23" fillId="0" borderId="0" xfId="0" applyFont="1"/>
    <xf numFmtId="0" fontId="24" fillId="0" borderId="0" xfId="0" applyFont="1"/>
    <xf numFmtId="0" fontId="0" fillId="4" borderId="0" xfId="0" applyFill="1"/>
    <xf numFmtId="0" fontId="0" fillId="6" borderId="0" xfId="0" applyFill="1" applyAlignment="1">
      <alignment horizontal="left" vertical="top" wrapText="1"/>
    </xf>
    <xf numFmtId="0" fontId="1" fillId="0" borderId="17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1" fillId="2" borderId="27" xfId="0" applyFont="1" applyFill="1" applyBorder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8" fillId="0" borderId="0" xfId="0" applyFont="1"/>
  </cellXfs>
  <cellStyles count="5">
    <cellStyle name="Hyperlink" xfId="1" builtinId="8"/>
    <cellStyle name="Normal" xfId="0" builtinId="0"/>
    <cellStyle name="Normal 2" xfId="2" xr:uid="{38971D36-DA5C-4DEA-B579-8A37C70FD7C8}"/>
    <cellStyle name="Normal 3" xfId="3" xr:uid="{A6D92C8F-323F-45C8-96EC-7F0AD99EC01B}"/>
    <cellStyle name="Normal 4" xfId="4" xr:uid="{3BB41CAC-0245-4839-806F-A4948BA92CAC}"/>
  </cellStyles>
  <dxfs count="0"/>
  <tableStyles count="0" defaultTableStyle="TableStyleMedium2" defaultPivotStyle="PivotStyleLight16"/>
  <colors>
    <mruColors>
      <color rgb="FF7AE575"/>
      <color rgb="FFFF5050"/>
      <color rgb="FFFD83D4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Scenarios!$P$7</c:f>
              <c:strCache>
                <c:ptCount val="1"/>
                <c:pt idx="0">
                  <c:v>Invited screening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Scenarios!$O$8:$O$12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Homeless accommodation</c:v>
                </c:pt>
                <c:pt idx="4">
                  <c:v>Hospital/clinic/care centre</c:v>
                </c:pt>
              </c:strCache>
            </c:strRef>
          </c:cat>
          <c:val>
            <c:numRef>
              <c:f>Scenarios!$P$8:$P$12</c:f>
              <c:numCache>
                <c:formatCode>"£"#,##0</c:formatCode>
                <c:ptCount val="5"/>
                <c:pt idx="0">
                  <c:v>3505.5440000000003</c:v>
                </c:pt>
                <c:pt idx="1">
                  <c:v>8214.4215999999997</c:v>
                </c:pt>
                <c:pt idx="2">
                  <c:v>1254.3826799999999</c:v>
                </c:pt>
                <c:pt idx="3">
                  <c:v>488.11337999999995</c:v>
                </c:pt>
                <c:pt idx="4">
                  <c:v>162.42536000000001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15-4B6D-BF88-AE00977FC08B}"/>
            </c:ext>
          </c:extLst>
        </c:ser>
        <c:ser>
          <c:idx val="1"/>
          <c:order val="1"/>
          <c:tx>
            <c:strRef>
              <c:f>Scenarios!$Q$7</c:f>
              <c:strCache>
                <c:ptCount val="1"/>
                <c:pt idx="0">
                  <c:v>Site visit screening</c:v>
                </c:pt>
              </c:strCache>
            </c:strRef>
          </c:tx>
          <c:spPr>
            <a:solidFill>
              <a:srgbClr val="FD83D4"/>
            </a:solidFill>
            <a:ln>
              <a:noFill/>
            </a:ln>
            <a:effectLst/>
          </c:spPr>
          <c:invertIfNegative val="0"/>
          <c:cat>
            <c:strRef>
              <c:f>Scenarios!$O$8:$O$12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Homeless accommodation</c:v>
                </c:pt>
                <c:pt idx="4">
                  <c:v>Hospital/clinic/care centre</c:v>
                </c:pt>
              </c:strCache>
            </c:strRef>
          </c:cat>
          <c:val>
            <c:numRef>
              <c:f>Scenarios!$Q$8:$Q$12</c:f>
              <c:numCache>
                <c:formatCode>"£"#,##0</c:formatCode>
                <c:ptCount val="5"/>
                <c:pt idx="0">
                  <c:v>15099.798960000002</c:v>
                </c:pt>
                <c:pt idx="1">
                  <c:v>43286.270400000001</c:v>
                </c:pt>
                <c:pt idx="2">
                  <c:v>11065.24908</c:v>
                </c:pt>
                <c:pt idx="3">
                  <c:v>5121.3702599999997</c:v>
                </c:pt>
                <c:pt idx="4">
                  <c:v>1768.0381199999999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15-4B6D-BF88-AE00977FC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5620824"/>
        <c:axId val="395621152"/>
      </c:barChart>
      <c:catAx>
        <c:axId val="395620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1152"/>
        <c:crosses val="autoZero"/>
        <c:auto val="1"/>
        <c:lblAlgn val="ctr"/>
        <c:lblOffset val="1"/>
        <c:noMultiLvlLbl val="0"/>
      </c:catAx>
      <c:valAx>
        <c:axId val="3956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18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Scenarios!$P$28</c:f>
              <c:strCache>
                <c:ptCount val="1"/>
                <c:pt idx="0">
                  <c:v>Invited screening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Scenarios!$O$29:$O$33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Scenarios!$P$29:$P$33</c:f>
              <c:numCache>
                <c:formatCode>"£"#,##0</c:formatCode>
                <c:ptCount val="5"/>
                <c:pt idx="0">
                  <c:v>249.09734</c:v>
                </c:pt>
                <c:pt idx="1">
                  <c:v>16889.151840000002</c:v>
                </c:pt>
                <c:pt idx="2">
                  <c:v>1623.8000799999998</c:v>
                </c:pt>
                <c:pt idx="3">
                  <c:v>464.0009</c:v>
                </c:pt>
                <c:pt idx="4">
                  <c:v>2661.9652800000003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B-4133-B46A-3AA3C84CDE41}"/>
            </c:ext>
          </c:extLst>
        </c:ser>
        <c:ser>
          <c:idx val="1"/>
          <c:order val="1"/>
          <c:tx>
            <c:strRef>
              <c:f>Scenarios!$Q$28</c:f>
              <c:strCache>
                <c:ptCount val="1"/>
                <c:pt idx="0">
                  <c:v>Site visit screening</c:v>
                </c:pt>
              </c:strCache>
            </c:strRef>
          </c:tx>
          <c:spPr>
            <a:solidFill>
              <a:srgbClr val="FD83D4"/>
            </a:solidFill>
            <a:ln>
              <a:noFill/>
            </a:ln>
            <a:effectLst/>
          </c:spPr>
          <c:invertIfNegative val="0"/>
          <c:cat>
            <c:strRef>
              <c:f>Scenarios!$O$29:$O$33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Scenarios!$Q$29:$Q$33</c:f>
              <c:numCache>
                <c:formatCode>"£"#,##0</c:formatCode>
                <c:ptCount val="5"/>
                <c:pt idx="0">
                  <c:v>3224.9286000000002</c:v>
                </c:pt>
                <c:pt idx="1">
                  <c:v>63998.367840000006</c:v>
                </c:pt>
                <c:pt idx="2">
                  <c:v>13214.612880000001</c:v>
                </c:pt>
                <c:pt idx="3">
                  <c:v>7733.4079500000007</c:v>
                </c:pt>
                <c:pt idx="4">
                  <c:v>23802.242489999997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4B-4133-B46A-3AA3C84CD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5620824"/>
        <c:axId val="39562115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Scenarios!$R$7</c15:sqref>
                        </c15:formulaRef>
                      </c:ext>
                    </c:extLst>
                    <c:strCache>
                      <c:ptCount val="1"/>
                      <c:pt idx="0">
                        <c:v>inform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Scenarios!$O$29:$O$33</c15:sqref>
                        </c15:formulaRef>
                      </c:ext>
                    </c:extLst>
                    <c:strCache>
                      <c:ptCount val="5"/>
                      <c:pt idx="0">
                        <c:v>Commercial/retail</c:v>
                      </c:pt>
                      <c:pt idx="1">
                        <c:v>Education</c:v>
                      </c:pt>
                      <c:pt idx="2">
                        <c:v>Factory/workplace</c:v>
                      </c:pt>
                      <c:pt idx="3">
                        <c:v>Hospital/clinic/care centre</c:v>
                      </c:pt>
                      <c:pt idx="4">
                        <c:v>Other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Scenarios!$R$8:$R$12</c15:sqref>
                        </c15:formulaRef>
                      </c:ext>
                    </c:extLst>
                    <c:numCache>
                      <c:formatCode>"£"#,##0</c:formatCode>
                      <c:ptCount val="5"/>
                      <c:pt idx="0">
                        <c:v>233.71440575999998</c:v>
                      </c:pt>
                      <c:pt idx="1">
                        <c:v>450.95554944000003</c:v>
                      </c:pt>
                      <c:pt idx="2">
                        <c:v>60.415688678399995</c:v>
                      </c:pt>
                      <c:pt idx="3">
                        <c:v>41.183155200000002</c:v>
                      </c:pt>
                      <c:pt idx="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D84B-4133-B46A-3AA3C84CDE41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Scenarios!$S$7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Scenarios!$O$29:$O$33</c15:sqref>
                        </c15:formulaRef>
                      </c:ext>
                    </c:extLst>
                    <c:strCache>
                      <c:ptCount val="5"/>
                      <c:pt idx="0">
                        <c:v>Commercial/retail</c:v>
                      </c:pt>
                      <c:pt idx="1">
                        <c:v>Education</c:v>
                      </c:pt>
                      <c:pt idx="2">
                        <c:v>Factory/workplace</c:v>
                      </c:pt>
                      <c:pt idx="3">
                        <c:v>Hospital/clinic/care centre</c:v>
                      </c:pt>
                      <c:pt idx="4">
                        <c:v>Other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Scenarios!$S$8:$S$12</c15:sqref>
                        </c15:formulaRef>
                      </c:ext>
                    </c:extLst>
                    <c:numCache>
                      <c:formatCode>"£"#,##0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84B-4133-B46A-3AA3C84CDE41}"/>
                  </c:ext>
                </c:extLst>
              </c15:ser>
            </c15:filteredBarSeries>
          </c:ext>
        </c:extLst>
      </c:barChart>
      <c:catAx>
        <c:axId val="395620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1152"/>
        <c:crosses val="autoZero"/>
        <c:auto val="1"/>
        <c:lblAlgn val="ctr"/>
        <c:lblOffset val="1"/>
        <c:noMultiLvlLbl val="0"/>
      </c:catAx>
      <c:valAx>
        <c:axId val="3956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18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Scenarios!$P$45</c:f>
              <c:strCache>
                <c:ptCount val="1"/>
                <c:pt idx="0">
                  <c:v>Invited screening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Scenarios!$O$46:$O$50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Scenarios!$P$46:$P$50</c:f>
              <c:numCache>
                <c:formatCode>"£"#,##0</c:formatCode>
                <c:ptCount val="5"/>
                <c:pt idx="0">
                  <c:v>913.63885000000005</c:v>
                </c:pt>
                <c:pt idx="1">
                  <c:v>19571.44614</c:v>
                </c:pt>
                <c:pt idx="2">
                  <c:v>1206.7547999999999</c:v>
                </c:pt>
                <c:pt idx="3">
                  <c:v>361.32884999999999</c:v>
                </c:pt>
                <c:pt idx="4">
                  <c:v>811.56472000000008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2C-41DF-B1FF-1EBDC27CEF97}"/>
            </c:ext>
          </c:extLst>
        </c:ser>
        <c:ser>
          <c:idx val="1"/>
          <c:order val="1"/>
          <c:tx>
            <c:strRef>
              <c:f>Scenarios!$Q$45</c:f>
              <c:strCache>
                <c:ptCount val="1"/>
                <c:pt idx="0">
                  <c:v>Site visit screening</c:v>
                </c:pt>
              </c:strCache>
            </c:strRef>
          </c:tx>
          <c:spPr>
            <a:solidFill>
              <a:srgbClr val="FD83D4"/>
            </a:solidFill>
            <a:ln>
              <a:noFill/>
            </a:ln>
            <a:effectLst/>
          </c:spPr>
          <c:invertIfNegative val="0"/>
          <c:cat>
            <c:strRef>
              <c:f>Scenarios!$O$46:$O$50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Scenarios!$Q$46:$Q$50</c:f>
              <c:numCache>
                <c:formatCode>"£"#,##0</c:formatCode>
                <c:ptCount val="5"/>
                <c:pt idx="0">
                  <c:v>8903.4768000000004</c:v>
                </c:pt>
                <c:pt idx="1">
                  <c:v>73114.659720000011</c:v>
                </c:pt>
                <c:pt idx="2">
                  <c:v>7038.8119800000004</c:v>
                </c:pt>
                <c:pt idx="3">
                  <c:v>4807.2787200000002</c:v>
                </c:pt>
                <c:pt idx="4">
                  <c:v>4788.6345000000001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2C-41DF-B1FF-1EBDC27CE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5620824"/>
        <c:axId val="39562115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Scenarios!$R$7</c15:sqref>
                        </c15:formulaRef>
                      </c:ext>
                    </c:extLst>
                    <c:strCache>
                      <c:ptCount val="1"/>
                      <c:pt idx="0">
                        <c:v>inform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Scenarios!$O$46:$O$50</c15:sqref>
                        </c15:formulaRef>
                      </c:ext>
                    </c:extLst>
                    <c:strCache>
                      <c:ptCount val="5"/>
                      <c:pt idx="0">
                        <c:v>Commercial/retail</c:v>
                      </c:pt>
                      <c:pt idx="1">
                        <c:v>Education</c:v>
                      </c:pt>
                      <c:pt idx="2">
                        <c:v>Factory/workplace</c:v>
                      </c:pt>
                      <c:pt idx="3">
                        <c:v>Hospital/clinic/care centre</c:v>
                      </c:pt>
                      <c:pt idx="4">
                        <c:v>Other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Scenarios!$R$8:$R$12</c15:sqref>
                        </c15:formulaRef>
                      </c:ext>
                    </c:extLst>
                    <c:numCache>
                      <c:formatCode>"£"#,##0</c:formatCode>
                      <c:ptCount val="5"/>
                      <c:pt idx="0">
                        <c:v>233.71440575999998</c:v>
                      </c:pt>
                      <c:pt idx="1">
                        <c:v>450.95554944000003</c:v>
                      </c:pt>
                      <c:pt idx="2">
                        <c:v>60.415688678399995</c:v>
                      </c:pt>
                      <c:pt idx="3">
                        <c:v>41.183155200000002</c:v>
                      </c:pt>
                      <c:pt idx="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692C-41DF-B1FF-1EBDC27CEF97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Scenarios!$S$7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Scenarios!$O$46:$O$50</c15:sqref>
                        </c15:formulaRef>
                      </c:ext>
                    </c:extLst>
                    <c:strCache>
                      <c:ptCount val="5"/>
                      <c:pt idx="0">
                        <c:v>Commercial/retail</c:v>
                      </c:pt>
                      <c:pt idx="1">
                        <c:v>Education</c:v>
                      </c:pt>
                      <c:pt idx="2">
                        <c:v>Factory/workplace</c:v>
                      </c:pt>
                      <c:pt idx="3">
                        <c:v>Hospital/clinic/care centre</c:v>
                      </c:pt>
                      <c:pt idx="4">
                        <c:v>Other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Scenarios!$S$8:$S$12</c15:sqref>
                        </c15:formulaRef>
                      </c:ext>
                    </c:extLst>
                    <c:numCache>
                      <c:formatCode>"£"#,##0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92C-41DF-B1FF-1EBDC27CEF97}"/>
                  </c:ext>
                </c:extLst>
              </c15:ser>
            </c15:filteredBarSeries>
          </c:ext>
        </c:extLst>
      </c:barChart>
      <c:catAx>
        <c:axId val="395620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1152"/>
        <c:crosses val="autoZero"/>
        <c:auto val="1"/>
        <c:lblAlgn val="ctr"/>
        <c:lblOffset val="1"/>
        <c:noMultiLvlLbl val="0"/>
      </c:catAx>
      <c:valAx>
        <c:axId val="3956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18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Scenarios!$P$60</c:f>
              <c:strCache>
                <c:ptCount val="1"/>
                <c:pt idx="0">
                  <c:v>Invited screening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Scenarios!$O$61:$O$65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Scenarios!$P$61:$P$65</c:f>
              <c:numCache>
                <c:formatCode>"£"#,##0</c:formatCode>
                <c:ptCount val="5"/>
                <c:pt idx="0">
                  <c:v>150.43335999999999</c:v>
                </c:pt>
                <c:pt idx="1">
                  <c:v>2536.6127999999999</c:v>
                </c:pt>
                <c:pt idx="2">
                  <c:v>2730.9989700000001</c:v>
                </c:pt>
                <c:pt idx="3">
                  <c:v>951.67282</c:v>
                </c:pt>
                <c:pt idx="4">
                  <c:v>2844.3930300000002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EF-4B74-BEB8-303A729A4C00}"/>
            </c:ext>
          </c:extLst>
        </c:ser>
        <c:ser>
          <c:idx val="1"/>
          <c:order val="1"/>
          <c:tx>
            <c:strRef>
              <c:f>Scenarios!$Q$60</c:f>
              <c:strCache>
                <c:ptCount val="1"/>
                <c:pt idx="0">
                  <c:v>Site visit screening</c:v>
                </c:pt>
              </c:strCache>
            </c:strRef>
          </c:tx>
          <c:spPr>
            <a:solidFill>
              <a:srgbClr val="FD83D4"/>
            </a:solidFill>
            <a:ln>
              <a:noFill/>
            </a:ln>
            <a:effectLst/>
          </c:spPr>
          <c:invertIfNegative val="0"/>
          <c:cat>
            <c:strRef>
              <c:f>Scenarios!$O$61:$O$65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Scenarios!$Q$61:$Q$65</c:f>
              <c:numCache>
                <c:formatCode>"£"#,##0</c:formatCode>
                <c:ptCount val="5"/>
                <c:pt idx="0">
                  <c:v>1660.1101200000001</c:v>
                </c:pt>
                <c:pt idx="1">
                  <c:v>14880.129840000001</c:v>
                </c:pt>
                <c:pt idx="2">
                  <c:v>19409.343929999999</c:v>
                </c:pt>
                <c:pt idx="3">
                  <c:v>5293.9647000000004</c:v>
                </c:pt>
                <c:pt idx="4">
                  <c:v>11745.8667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EF-4B74-BEB8-303A729A4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5620824"/>
        <c:axId val="39562115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Scenarios!$R$7</c15:sqref>
                        </c15:formulaRef>
                      </c:ext>
                    </c:extLst>
                    <c:strCache>
                      <c:ptCount val="1"/>
                      <c:pt idx="0">
                        <c:v>inform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Scenarios!$O$61:$O$65</c15:sqref>
                        </c15:formulaRef>
                      </c:ext>
                    </c:extLst>
                    <c:strCache>
                      <c:ptCount val="5"/>
                      <c:pt idx="0">
                        <c:v>Commercial/retail</c:v>
                      </c:pt>
                      <c:pt idx="1">
                        <c:v>Education</c:v>
                      </c:pt>
                      <c:pt idx="2">
                        <c:v>Factory/workplace</c:v>
                      </c:pt>
                      <c:pt idx="3">
                        <c:v>Hospital/clinic/care centre</c:v>
                      </c:pt>
                      <c:pt idx="4">
                        <c:v>Other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Scenarios!$R$8:$R$12</c15:sqref>
                        </c15:formulaRef>
                      </c:ext>
                    </c:extLst>
                    <c:numCache>
                      <c:formatCode>"£"#,##0</c:formatCode>
                      <c:ptCount val="5"/>
                      <c:pt idx="0">
                        <c:v>233.71440575999998</c:v>
                      </c:pt>
                      <c:pt idx="1">
                        <c:v>450.95554944000003</c:v>
                      </c:pt>
                      <c:pt idx="2">
                        <c:v>60.415688678399995</c:v>
                      </c:pt>
                      <c:pt idx="3">
                        <c:v>41.183155200000002</c:v>
                      </c:pt>
                      <c:pt idx="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FAEF-4B74-BEB8-303A729A4C00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Scenarios!$S$7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Scenarios!$O$61:$O$65</c15:sqref>
                        </c15:formulaRef>
                      </c:ext>
                    </c:extLst>
                    <c:strCache>
                      <c:ptCount val="5"/>
                      <c:pt idx="0">
                        <c:v>Commercial/retail</c:v>
                      </c:pt>
                      <c:pt idx="1">
                        <c:v>Education</c:v>
                      </c:pt>
                      <c:pt idx="2">
                        <c:v>Factory/workplace</c:v>
                      </c:pt>
                      <c:pt idx="3">
                        <c:v>Hospital/clinic/care centre</c:v>
                      </c:pt>
                      <c:pt idx="4">
                        <c:v>Other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Scenarios!$S$8:$S$12</c15:sqref>
                        </c15:formulaRef>
                      </c:ext>
                    </c:extLst>
                    <c:numCache>
                      <c:formatCode>"£"#,##0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AEF-4B74-BEB8-303A729A4C00}"/>
                  </c:ext>
                </c:extLst>
              </c15:ser>
            </c15:filteredBarSeries>
          </c:ext>
        </c:extLst>
      </c:barChart>
      <c:catAx>
        <c:axId val="395620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1152"/>
        <c:crosses val="autoZero"/>
        <c:auto val="1"/>
        <c:lblAlgn val="ctr"/>
        <c:lblOffset val="1"/>
        <c:noMultiLvlLbl val="0"/>
      </c:catAx>
      <c:valAx>
        <c:axId val="3956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Scenarios!$P$78</c:f>
              <c:strCache>
                <c:ptCount val="1"/>
                <c:pt idx="0">
                  <c:v>Invited screening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Scenarios!$O$79:$O$83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Scenarios!$P$79:$P$83</c:f>
              <c:numCache>
                <c:formatCode>"£"#,##0</c:formatCode>
                <c:ptCount val="5"/>
                <c:pt idx="0">
                  <c:v>318.49068000000005</c:v>
                </c:pt>
                <c:pt idx="1">
                  <c:v>8892.8588099999997</c:v>
                </c:pt>
                <c:pt idx="2">
                  <c:v>4658.2572</c:v>
                </c:pt>
                <c:pt idx="3">
                  <c:v>1087.8578399999999</c:v>
                </c:pt>
                <c:pt idx="4">
                  <c:v>1696.2203000000002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D-4F31-ABBE-AD9DBCAB9675}"/>
            </c:ext>
          </c:extLst>
        </c:ser>
        <c:ser>
          <c:idx val="1"/>
          <c:order val="1"/>
          <c:tx>
            <c:strRef>
              <c:f>Scenarios!$Q$78</c:f>
              <c:strCache>
                <c:ptCount val="1"/>
                <c:pt idx="0">
                  <c:v>Site visit screening</c:v>
                </c:pt>
              </c:strCache>
            </c:strRef>
          </c:tx>
          <c:spPr>
            <a:solidFill>
              <a:srgbClr val="FD83D4"/>
            </a:solidFill>
            <a:ln>
              <a:noFill/>
            </a:ln>
            <a:effectLst/>
          </c:spPr>
          <c:invertIfNegative val="0"/>
          <c:cat>
            <c:strRef>
              <c:f>Scenarios!$O$79:$O$83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Scenarios!$Q$79:$Q$83</c:f>
              <c:numCache>
                <c:formatCode>"£"#,##0</c:formatCode>
                <c:ptCount val="5"/>
                <c:pt idx="0">
                  <c:v>5945.3186400000004</c:v>
                </c:pt>
                <c:pt idx="1">
                  <c:v>38501.171280000002</c:v>
                </c:pt>
                <c:pt idx="2">
                  <c:v>21326.13954</c:v>
                </c:pt>
                <c:pt idx="3">
                  <c:v>6704.6170499999998</c:v>
                </c:pt>
                <c:pt idx="4">
                  <c:v>7614.1224000000002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5D-4F31-ABBE-AD9DBCAB9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5620824"/>
        <c:axId val="39562115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Scenarios!$R$7</c15:sqref>
                        </c15:formulaRef>
                      </c:ext>
                    </c:extLst>
                    <c:strCache>
                      <c:ptCount val="1"/>
                      <c:pt idx="0">
                        <c:v>inform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Scenarios!$O$79:$O$83</c15:sqref>
                        </c15:formulaRef>
                      </c:ext>
                    </c:extLst>
                    <c:strCache>
                      <c:ptCount val="5"/>
                      <c:pt idx="0">
                        <c:v>Commercial/retail</c:v>
                      </c:pt>
                      <c:pt idx="1">
                        <c:v>Education</c:v>
                      </c:pt>
                      <c:pt idx="2">
                        <c:v>Factory/workplace</c:v>
                      </c:pt>
                      <c:pt idx="3">
                        <c:v>Hospital/clinic/care centre</c:v>
                      </c:pt>
                      <c:pt idx="4">
                        <c:v>Other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Scenarios!$R$8:$R$12</c15:sqref>
                        </c15:formulaRef>
                      </c:ext>
                    </c:extLst>
                    <c:numCache>
                      <c:formatCode>"£"#,##0</c:formatCode>
                      <c:ptCount val="5"/>
                      <c:pt idx="0">
                        <c:v>233.71440575999998</c:v>
                      </c:pt>
                      <c:pt idx="1">
                        <c:v>450.95554944000003</c:v>
                      </c:pt>
                      <c:pt idx="2">
                        <c:v>60.415688678399995</c:v>
                      </c:pt>
                      <c:pt idx="3">
                        <c:v>41.183155200000002</c:v>
                      </c:pt>
                      <c:pt idx="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A5D-4F31-ABBE-AD9DBCAB9675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Scenarios!$S$7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Scenarios!$O$79:$O$83</c15:sqref>
                        </c15:formulaRef>
                      </c:ext>
                    </c:extLst>
                    <c:strCache>
                      <c:ptCount val="5"/>
                      <c:pt idx="0">
                        <c:v>Commercial/retail</c:v>
                      </c:pt>
                      <c:pt idx="1">
                        <c:v>Education</c:v>
                      </c:pt>
                      <c:pt idx="2">
                        <c:v>Factory/workplace</c:v>
                      </c:pt>
                      <c:pt idx="3">
                        <c:v>Hospital/clinic/care centre</c:v>
                      </c:pt>
                      <c:pt idx="4">
                        <c:v>Other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Scenarios!$S$8:$S$12</c15:sqref>
                        </c15:formulaRef>
                      </c:ext>
                    </c:extLst>
                    <c:numCache>
                      <c:formatCode>"£"#,##0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A5D-4F31-ABBE-AD9DBCAB9675}"/>
                  </c:ext>
                </c:extLst>
              </c15:ser>
            </c15:filteredBarSeries>
          </c:ext>
        </c:extLst>
      </c:barChart>
      <c:catAx>
        <c:axId val="395620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1152"/>
        <c:crosses val="autoZero"/>
        <c:auto val="1"/>
        <c:lblAlgn val="ctr"/>
        <c:lblOffset val="1"/>
        <c:noMultiLvlLbl val="0"/>
      </c:catAx>
      <c:valAx>
        <c:axId val="3956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18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Scenarios!$P$96</c:f>
              <c:strCache>
                <c:ptCount val="1"/>
                <c:pt idx="0">
                  <c:v>Invited screening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Scenarios!$O$97:$O$101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Scenarios!$P$97:$P$101</c:f>
              <c:numCache>
                <c:formatCode>"£"#,##0</c:formatCode>
                <c:ptCount val="5"/>
                <c:pt idx="0">
                  <c:v>194.88994000000002</c:v>
                </c:pt>
                <c:pt idx="1">
                  <c:v>2697.1967399999999</c:v>
                </c:pt>
                <c:pt idx="2">
                  <c:v>994.81432000000007</c:v>
                </c:pt>
                <c:pt idx="3">
                  <c:v>464.4828</c:v>
                </c:pt>
                <c:pt idx="4">
                  <c:v>349.81178999999997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71-46B2-A4AF-34CD603FE87F}"/>
            </c:ext>
          </c:extLst>
        </c:ser>
        <c:ser>
          <c:idx val="1"/>
          <c:order val="1"/>
          <c:tx>
            <c:strRef>
              <c:f>Scenarios!$Q$96</c:f>
              <c:strCache>
                <c:ptCount val="1"/>
                <c:pt idx="0">
                  <c:v>Site visit screening</c:v>
                </c:pt>
              </c:strCache>
            </c:strRef>
          </c:tx>
          <c:spPr>
            <a:solidFill>
              <a:srgbClr val="FD83D4"/>
            </a:solidFill>
            <a:ln>
              <a:noFill/>
            </a:ln>
            <a:effectLst/>
          </c:spPr>
          <c:invertIfNegative val="0"/>
          <c:cat>
            <c:strRef>
              <c:f>Scenarios!$O$97:$O$101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Scenarios!$Q$97:$Q$101</c:f>
              <c:numCache>
                <c:formatCode>"£"#,##0</c:formatCode>
                <c:ptCount val="5"/>
                <c:pt idx="0">
                  <c:v>1779.77367</c:v>
                </c:pt>
                <c:pt idx="1">
                  <c:v>15215.319720000001</c:v>
                </c:pt>
                <c:pt idx="2">
                  <c:v>8219.5416000000005</c:v>
                </c:pt>
                <c:pt idx="3">
                  <c:v>5070.2125500000002</c:v>
                </c:pt>
                <c:pt idx="4">
                  <c:v>4851.6645600000002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71-46B2-A4AF-34CD603FE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5620824"/>
        <c:axId val="39562115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Scenarios!$R$7</c15:sqref>
                        </c15:formulaRef>
                      </c:ext>
                    </c:extLst>
                    <c:strCache>
                      <c:ptCount val="1"/>
                      <c:pt idx="0">
                        <c:v>inform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Scenarios!$O$97:$O$101</c15:sqref>
                        </c15:formulaRef>
                      </c:ext>
                    </c:extLst>
                    <c:strCache>
                      <c:ptCount val="5"/>
                      <c:pt idx="0">
                        <c:v>Commercial/retail</c:v>
                      </c:pt>
                      <c:pt idx="1">
                        <c:v>Education</c:v>
                      </c:pt>
                      <c:pt idx="2">
                        <c:v>Factory/workplace</c:v>
                      </c:pt>
                      <c:pt idx="3">
                        <c:v>Hospital/clinic/care centre</c:v>
                      </c:pt>
                      <c:pt idx="4">
                        <c:v>Other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Scenarios!$R$8:$R$12</c15:sqref>
                        </c15:formulaRef>
                      </c:ext>
                    </c:extLst>
                    <c:numCache>
                      <c:formatCode>"£"#,##0</c:formatCode>
                      <c:ptCount val="5"/>
                      <c:pt idx="0">
                        <c:v>233.71440575999998</c:v>
                      </c:pt>
                      <c:pt idx="1">
                        <c:v>450.95554944000003</c:v>
                      </c:pt>
                      <c:pt idx="2">
                        <c:v>60.415688678399995</c:v>
                      </c:pt>
                      <c:pt idx="3">
                        <c:v>41.183155200000002</c:v>
                      </c:pt>
                      <c:pt idx="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5F71-46B2-A4AF-34CD603FE87F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Scenarios!$S$7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Scenarios!$O$97:$O$101</c15:sqref>
                        </c15:formulaRef>
                      </c:ext>
                    </c:extLst>
                    <c:strCache>
                      <c:ptCount val="5"/>
                      <c:pt idx="0">
                        <c:v>Commercial/retail</c:v>
                      </c:pt>
                      <c:pt idx="1">
                        <c:v>Education</c:v>
                      </c:pt>
                      <c:pt idx="2">
                        <c:v>Factory/workplace</c:v>
                      </c:pt>
                      <c:pt idx="3">
                        <c:v>Hospital/clinic/care centre</c:v>
                      </c:pt>
                      <c:pt idx="4">
                        <c:v>Other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Scenarios!$S$8:$S$12</c15:sqref>
                        </c15:formulaRef>
                      </c:ext>
                    </c:extLst>
                    <c:numCache>
                      <c:formatCode>"£"#,##0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F71-46B2-A4AF-34CD603FE87F}"/>
                  </c:ext>
                </c:extLst>
              </c15:ser>
            </c15:filteredBarSeries>
          </c:ext>
        </c:extLst>
      </c:barChart>
      <c:catAx>
        <c:axId val="395620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1152"/>
        <c:crosses val="autoZero"/>
        <c:auto val="1"/>
        <c:lblAlgn val="ctr"/>
        <c:lblOffset val="1"/>
        <c:noMultiLvlLbl val="0"/>
      </c:catAx>
      <c:valAx>
        <c:axId val="3956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18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6221954425087649"/>
          <c:y val="7.8980756599747876E-2"/>
          <c:w val="0.58896036730331158"/>
          <c:h val="0.8062901837564932"/>
        </c:manualLayout>
      </c:layout>
      <c:barChart>
        <c:barDir val="bar"/>
        <c:grouping val="stacked"/>
        <c:varyColors val="0"/>
        <c:ser>
          <c:idx val="1"/>
          <c:order val="1"/>
          <c:tx>
            <c:strRef>
              <c:f>Tornado!$B$24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Tornado!$C$21:$G$21</c:f>
              <c:strCache>
                <c:ptCount val="5"/>
                <c:pt idx="0">
                  <c:v>Proportion invite (min: 0, max: 1)</c:v>
                </c:pt>
                <c:pt idx="1">
                  <c:v>Number identified (min: 10, max: 1000)</c:v>
                </c:pt>
                <c:pt idx="2">
                  <c:v>Proportion screened (min: 0.1, max: 1)</c:v>
                </c:pt>
                <c:pt idx="3">
                  <c:v>Proportion positive (min: 0, max: 1)</c:v>
                </c:pt>
                <c:pt idx="4">
                  <c:v>Proportion informed (min: 0, max: 1)</c:v>
                </c:pt>
              </c:strCache>
            </c:strRef>
          </c:cat>
          <c:val>
            <c:numRef>
              <c:f>Tornado!$C$24:$F$24</c:f>
              <c:numCache>
                <c:formatCode>"£"#,##0_);[Red]\("£"#,##0\)</c:formatCode>
                <c:ptCount val="4"/>
                <c:pt idx="0">
                  <c:v>4850.7708252000002</c:v>
                </c:pt>
                <c:pt idx="1">
                  <c:v>1408.9476205199999</c:v>
                </c:pt>
                <c:pt idx="2">
                  <c:v>2280.0721601999999</c:v>
                </c:pt>
                <c:pt idx="3">
                  <c:v>5289.9129102000006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68-4A5F-B442-F0EBE971259C}"/>
            </c:ext>
          </c:extLst>
        </c:ser>
        <c:ser>
          <c:idx val="3"/>
          <c:order val="3"/>
          <c:tx>
            <c:strRef>
              <c:f>Tornado!$B$27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5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B71E-47EE-96F1-74E5FA9D841E}"/>
              </c:ext>
            </c:extLst>
          </c:dPt>
          <c:dPt>
            <c:idx val="4"/>
            <c:invertIfNegative val="0"/>
            <c:bubble3D val="0"/>
            <c:spPr>
              <a:solidFill>
                <a:srgbClr val="7AE57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71E-47EE-96F1-74E5FA9D841E}"/>
              </c:ext>
            </c:extLst>
          </c:dPt>
          <c:cat>
            <c:strRef>
              <c:f>Tornado!$C$21:$G$21</c:f>
              <c:strCache>
                <c:ptCount val="5"/>
                <c:pt idx="0">
                  <c:v>Proportion invite (min: 0, max: 1)</c:v>
                </c:pt>
                <c:pt idx="1">
                  <c:v>Number identified (min: 10, max: 1000)</c:v>
                </c:pt>
                <c:pt idx="2">
                  <c:v>Proportion screened (min: 0.1, max: 1)</c:v>
                </c:pt>
                <c:pt idx="3">
                  <c:v>Proportion positive (min: 0, max: 1)</c:v>
                </c:pt>
                <c:pt idx="4">
                  <c:v>Proportion informed (min: 0, max: 1)</c:v>
                </c:pt>
              </c:strCache>
            </c:strRef>
          </c:cat>
          <c:val>
            <c:numRef>
              <c:f>Tornado!$C$27:$G$27</c:f>
              <c:numCache>
                <c:formatCode>"£"#,##0_);[Red]\("£"#,##0\)</c:formatCode>
                <c:ptCount val="5"/>
                <c:pt idx="0">
                  <c:v>1788.2420849999999</c:v>
                </c:pt>
                <c:pt idx="1">
                  <c:v>5230.0652896800002</c:v>
                </c:pt>
                <c:pt idx="2">
                  <c:v>4358.9407499999998</c:v>
                </c:pt>
                <c:pt idx="3">
                  <c:v>1349.0999999999995</c:v>
                </c:pt>
                <c:pt idx="4">
                  <c:v>6227.1813582000004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68-4A5F-B442-F0EBE971259C}"/>
            </c:ext>
          </c:extLst>
        </c:ser>
        <c:ser>
          <c:idx val="4"/>
          <c:order val="4"/>
          <c:tx>
            <c:strRef>
              <c:f>Tornado!$B$28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rgbClr val="7AE575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71E-47EE-96F1-74E5FA9D841E}"/>
              </c:ext>
            </c:extLst>
          </c:dPt>
          <c:cat>
            <c:strRef>
              <c:f>Tornado!$C$21:$G$21</c:f>
              <c:strCache>
                <c:ptCount val="5"/>
                <c:pt idx="0">
                  <c:v>Proportion invite (min: 0, max: 1)</c:v>
                </c:pt>
                <c:pt idx="1">
                  <c:v>Number identified (min: 10, max: 1000)</c:v>
                </c:pt>
                <c:pt idx="2">
                  <c:v>Proportion screened (min: 0.1, max: 1)</c:v>
                </c:pt>
                <c:pt idx="3">
                  <c:v>Proportion positive (min: 0, max: 1)</c:v>
                </c:pt>
                <c:pt idx="4">
                  <c:v>Proportion informed (min: 0, max: 1)</c:v>
                </c:pt>
              </c:strCache>
            </c:strRef>
          </c:cat>
          <c:val>
            <c:numRef>
              <c:f>Tornado!$C$28:$G$28</c:f>
              <c:numCache>
                <c:formatCode>"£"#,##0_);[Red]\("£"#,##0\)</c:formatCode>
                <c:ptCount val="5"/>
                <c:pt idx="0">
                  <c:v>1788.2420850000008</c:v>
                </c:pt>
                <c:pt idx="1">
                  <c:v>53928.84636180001</c:v>
                </c:pt>
                <c:pt idx="2">
                  <c:v>5409.1051200000011</c:v>
                </c:pt>
                <c:pt idx="3">
                  <c:v>1349.1000000000004</c:v>
                </c:pt>
                <c:pt idx="4">
                  <c:v>2190.9090397999998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68-4A5F-B442-F0EBE9712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319518128"/>
        <c:axId val="31951845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Tornado!$B$25</c15:sqref>
                        </c15:formulaRef>
                      </c:ext>
                    </c:extLst>
                    <c:strCache>
                      <c:ptCount val="1"/>
                      <c:pt idx="0">
                        <c:v>baseline</c:v>
                      </c:pt>
                    </c:strCache>
                  </c:strRef>
                </c:tx>
                <c:spPr>
                  <a:noFill/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Tornado!$C$21:$G$21</c15:sqref>
                        </c15:formulaRef>
                      </c:ext>
                    </c:extLst>
                    <c:strCache>
                      <c:ptCount val="5"/>
                      <c:pt idx="0">
                        <c:v>Proportion invite (min: 0, max: 1)</c:v>
                      </c:pt>
                      <c:pt idx="1">
                        <c:v>Number identified (min: 10, max: 1000)</c:v>
                      </c:pt>
                      <c:pt idx="2">
                        <c:v>Proportion screened (min: 0.1, max: 1)</c:v>
                      </c:pt>
                      <c:pt idx="3">
                        <c:v>Proportion positive (min: 0, max: 1)</c:v>
                      </c:pt>
                      <c:pt idx="4">
                        <c:v>Proportion informed (min: 0, max: 1)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Tornado!$C$25:$F$25</c15:sqref>
                        </c15:formulaRef>
                      </c:ext>
                    </c:extLst>
                    <c:numCache>
                      <c:formatCode>"£"#,##0_);[Red]\("£"#,##0\)</c:formatCode>
                      <c:ptCount val="4"/>
                      <c:pt idx="0">
                        <c:v>6639.0129102000001</c:v>
                      </c:pt>
                      <c:pt idx="1">
                        <c:v>6639.0129102000001</c:v>
                      </c:pt>
                      <c:pt idx="2">
                        <c:v>6639.0129102000001</c:v>
                      </c:pt>
                      <c:pt idx="3">
                        <c:v>6639.0129102000001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768-4A5F-B442-F0EBE971259C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Tornado!$B$26</c15:sqref>
                        </c15:formulaRef>
                      </c:ext>
                    </c:extLst>
                    <c:strCache>
                      <c:ptCount val="1"/>
                      <c:pt idx="0">
                        <c:v>max cost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Tornado!$C$21:$G$21</c15:sqref>
                        </c15:formulaRef>
                      </c:ext>
                    </c:extLst>
                    <c:strCache>
                      <c:ptCount val="5"/>
                      <c:pt idx="0">
                        <c:v>Proportion invite (min: 0, max: 1)</c:v>
                      </c:pt>
                      <c:pt idx="1">
                        <c:v>Number identified (min: 10, max: 1000)</c:v>
                      </c:pt>
                      <c:pt idx="2">
                        <c:v>Proportion screened (min: 0.1, max: 1)</c:v>
                      </c:pt>
                      <c:pt idx="3">
                        <c:v>Proportion positive (min: 0, max: 1)</c:v>
                      </c:pt>
                      <c:pt idx="4">
                        <c:v>Proportion informed (min: 0, max: 1)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Tornado!$C$26:$F$26</c15:sqref>
                        </c15:formulaRef>
                      </c:ext>
                    </c:extLst>
                    <c:numCache>
                      <c:formatCode>"£"#,##0_);[Red]\("£"#,##0\)</c:formatCode>
                      <c:ptCount val="4"/>
                      <c:pt idx="0">
                        <c:v>8427.2549952000008</c:v>
                      </c:pt>
                      <c:pt idx="1">
                        <c:v>60567.859272000009</c:v>
                      </c:pt>
                      <c:pt idx="2">
                        <c:v>12048.118030200001</c:v>
                      </c:pt>
                      <c:pt idx="3">
                        <c:v>7988.1129102000004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768-4A5F-B442-F0EBE971259C}"/>
                  </c:ext>
                </c:extLst>
              </c15:ser>
            </c15:filteredBarSeries>
          </c:ext>
        </c:extLst>
      </c:barChart>
      <c:scatterChart>
        <c:scatterStyle val="lineMarker"/>
        <c:varyColors val="0"/>
        <c:ser>
          <c:idx val="5"/>
          <c:order val="5"/>
          <c:tx>
            <c:v>Baseline</c:v>
          </c:tx>
          <c:spPr>
            <a:ln w="6350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6350">
                <a:noFill/>
              </a:ln>
              <a:effectLst/>
            </c:spPr>
          </c:marker>
          <c:xVal>
            <c:numRef>
              <c:f>Tornado!$C$33:$C$34</c:f>
              <c:numCache>
                <c:formatCode>General</c:formatCode>
                <c:ptCount val="2"/>
                <c:pt idx="0">
                  <c:v>6639.0129102000001</c:v>
                </c:pt>
                <c:pt idx="1">
                  <c:v>6639.0129102000001</c:v>
                </c:pt>
              </c:numCache>
            </c:numRef>
          </c:xVal>
          <c:yVal>
            <c:numRef>
              <c:f>Tornado!$D$33:$D$34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ED-4C37-88FB-96337F26A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788976"/>
        <c:axId val="634334624"/>
      </c:scatterChart>
      <c:catAx>
        <c:axId val="31951812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18456"/>
        <c:crosses val="autoZero"/>
        <c:auto val="1"/>
        <c:lblAlgn val="ctr"/>
        <c:lblOffset val="1"/>
        <c:noMultiLvlLbl val="0"/>
      </c:catAx>
      <c:valAx>
        <c:axId val="319518456"/>
        <c:scaling>
          <c:orientation val="minMax"/>
          <c:max val="90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_);[Red]\(&quot;£&quot;#,##0\)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18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18128"/>
        <c:crosses val="autoZero"/>
        <c:crossBetween val="between"/>
        <c:minorUnit val="1000"/>
      </c:valAx>
      <c:valAx>
        <c:axId val="634334624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788976"/>
        <c:crosses val="max"/>
        <c:crossBetween val="midCat"/>
      </c:valAx>
      <c:valAx>
        <c:axId val="637788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433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512535328386699"/>
          <c:y val="0.48352869863782794"/>
          <c:w val="0.15866586950973113"/>
          <c:h val="0.304686197527336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435428</xdr:colOff>
      <xdr:row>1</xdr:row>
      <xdr:rowOff>27213</xdr:rowOff>
    </xdr:from>
    <xdr:to>
      <xdr:col>23</xdr:col>
      <xdr:colOff>111579</xdr:colOff>
      <xdr:row>61</xdr:row>
      <xdr:rowOff>134710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2E84408-2D0D-4D9D-B6E7-2161D97C1BE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953" t="11298"/>
        <a:stretch/>
      </xdr:blipFill>
      <xdr:spPr bwMode="auto">
        <a:xfrm>
          <a:off x="3728357" y="299356"/>
          <a:ext cx="14317436" cy="1153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107016</xdr:colOff>
      <xdr:row>7</xdr:row>
      <xdr:rowOff>33617</xdr:rowOff>
    </xdr:from>
    <xdr:to>
      <xdr:col>25</xdr:col>
      <xdr:colOff>465780</xdr:colOff>
      <xdr:row>24</xdr:row>
      <xdr:rowOff>35117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4B926BE-C24D-4C07-9E30-5FB7282C8C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276224</xdr:colOff>
      <xdr:row>25</xdr:row>
      <xdr:rowOff>142875</xdr:rowOff>
    </xdr:from>
    <xdr:to>
      <xdr:col>24</xdr:col>
      <xdr:colOff>545342</xdr:colOff>
      <xdr:row>42</xdr:row>
      <xdr:rowOff>144375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48945EC-6DA3-483D-8C2A-6CCAC91381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238124</xdr:colOff>
      <xdr:row>43</xdr:row>
      <xdr:rowOff>104774</xdr:rowOff>
    </xdr:from>
    <xdr:to>
      <xdr:col>24</xdr:col>
      <xdr:colOff>507242</xdr:colOff>
      <xdr:row>60</xdr:row>
      <xdr:rowOff>106274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A0E9BBE-6CC3-470B-8599-BAFD92365A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276224</xdr:colOff>
      <xdr:row>59</xdr:row>
      <xdr:rowOff>171450</xdr:rowOff>
    </xdr:from>
    <xdr:to>
      <xdr:col>24</xdr:col>
      <xdr:colOff>545342</xdr:colOff>
      <xdr:row>76</xdr:row>
      <xdr:rowOff>172950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1D94642-7684-425C-9990-03CC4240A0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228600</xdr:colOff>
      <xdr:row>77</xdr:row>
      <xdr:rowOff>171449</xdr:rowOff>
    </xdr:from>
    <xdr:to>
      <xdr:col>24</xdr:col>
      <xdr:colOff>497718</xdr:colOff>
      <xdr:row>94</xdr:row>
      <xdr:rowOff>172949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6507E58-9FD2-4A42-8D33-5839DE9DC6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171449</xdr:colOff>
      <xdr:row>95</xdr:row>
      <xdr:rowOff>38099</xdr:rowOff>
    </xdr:from>
    <xdr:to>
      <xdr:col>24</xdr:col>
      <xdr:colOff>440567</xdr:colOff>
      <xdr:row>112</xdr:row>
      <xdr:rowOff>39599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5CF26FFD-3047-42A5-8E9B-BE622A1076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12888</xdr:colOff>
      <xdr:row>4</xdr:row>
      <xdr:rowOff>83002</xdr:rowOff>
    </xdr:from>
    <xdr:to>
      <xdr:col>24</xdr:col>
      <xdr:colOff>32498</xdr:colOff>
      <xdr:row>25</xdr:row>
      <xdr:rowOff>152399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516712-03AA-4622-935E-50CA3D9071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nathan.green@imperial.ac.uk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peltiertech.com/excel-box-and-whisker-diagrams-box-plots/" TargetMode="External"/><Relationship Id="rId2" Type="http://schemas.openxmlformats.org/officeDocument/2006/relationships/hyperlink" Target="https://mbounthavong.com/blog/2018/5/26/communicating-data-effectively-with-data-visualizations-tornado-diagram" TargetMode="External"/><Relationship Id="rId1" Type="http://schemas.openxmlformats.org/officeDocument/2006/relationships/hyperlink" Target="https://excelchamps.com/blog/tornado-chart/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ork-day.co.uk/workingdays_holidays_2019.htm" TargetMode="External"/><Relationship Id="rId2" Type="http://schemas.openxmlformats.org/officeDocument/2006/relationships/hyperlink" Target="https://www.gov.uk/national-insurance-rates-letters" TargetMode="External"/><Relationship Id="rId1" Type="http://schemas.openxmlformats.org/officeDocument/2006/relationships/hyperlink" Target="https://assets.publishing.service.gov.uk/government/uploads/system/uploads/attachment_data/file/765677/Consultation_document_-_NHS_Pension_Scheme_proposed_changes_to_Scheme_Regulations_1.pdf" TargetMode="External"/><Relationship Id="rId4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nhsemployers.org/pay-pensions-and-reward/medical-staff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nhsemployers.org/-/media/Employers/Documents/Pay-and-reward/Pay-and-Conditions-Circular-MD-32018-270918.pdf?la=en&amp;hash=01F967307A1568133D47942391371AE2B78F5461" TargetMode="External"/><Relationship Id="rId2" Type="http://schemas.openxmlformats.org/officeDocument/2006/relationships/hyperlink" Target="https://www.nhsemployers.org/employershandbook/tchandbook/afc_tc_of_service_handbook_fb.pdf" TargetMode="External"/><Relationship Id="rId1" Type="http://schemas.openxmlformats.org/officeDocument/2006/relationships/hyperlink" Target="https://www.rcn.org.uk/employment-and-pay/nhs-pay-scales-2017-18" TargetMode="External"/><Relationship Id="rId5" Type="http://schemas.openxmlformats.org/officeDocument/2006/relationships/hyperlink" Target="https://www.jobs.nhs.uk/showvac/1/2/915507016" TargetMode="External"/><Relationship Id="rId4" Type="http://schemas.openxmlformats.org/officeDocument/2006/relationships/hyperlink" Target="https://www.nhsemployers.org/your-workforce/pay-and-reward/agenda-for-change/pay-scales/annua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F21CB-75D0-49AC-94E2-4B95213300B7}">
  <sheetPr codeName="Sheet1"/>
  <dimension ref="A1:M26"/>
  <sheetViews>
    <sheetView zoomScale="85" zoomScaleNormal="85" workbookViewId="0">
      <selection activeCell="Q25" sqref="Q25"/>
    </sheetView>
  </sheetViews>
  <sheetFormatPr defaultRowHeight="15" x14ac:dyDescent="0.25"/>
  <cols>
    <col min="2" max="2" width="11.7109375" customWidth="1"/>
    <col min="4" max="4" width="14.28515625" bestFit="1" customWidth="1"/>
    <col min="5" max="5" width="2.5703125" customWidth="1"/>
  </cols>
  <sheetData>
    <row r="1" spans="1:13" ht="15.75" x14ac:dyDescent="0.25">
      <c r="A1" s="90" t="s">
        <v>405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</row>
    <row r="2" spans="1:13" x14ac:dyDescent="0.25">
      <c r="A2" s="91" t="s">
        <v>92</v>
      </c>
      <c r="B2" s="92" t="s">
        <v>404</v>
      </c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</row>
    <row r="3" spans="1:13" x14ac:dyDescent="0.25">
      <c r="A3" s="91" t="s">
        <v>93</v>
      </c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</row>
    <row r="4" spans="1:13" x14ac:dyDescent="0.25">
      <c r="A4" s="91"/>
      <c r="B4" s="91"/>
      <c r="C4" s="91"/>
      <c r="D4" s="91"/>
      <c r="E4" s="91"/>
      <c r="F4" s="91"/>
      <c r="G4" s="91"/>
      <c r="H4" s="91"/>
      <c r="I4" s="91"/>
      <c r="J4" s="91"/>
      <c r="K4" s="91"/>
      <c r="L4" s="91"/>
      <c r="M4" s="91"/>
    </row>
    <row r="5" spans="1:13" x14ac:dyDescent="0.25">
      <c r="A5" s="91"/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</row>
    <row r="6" spans="1:13" x14ac:dyDescent="0.25">
      <c r="A6" s="91"/>
      <c r="B6" s="91"/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</row>
    <row r="7" spans="1:13" x14ac:dyDescent="0.25">
      <c r="A7" s="91"/>
      <c r="B7" s="96" t="s">
        <v>95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</row>
    <row r="8" spans="1:13" x14ac:dyDescent="0.25">
      <c r="A8" s="91"/>
      <c r="B8" s="91"/>
      <c r="C8" s="91"/>
      <c r="D8" s="93" t="s">
        <v>175</v>
      </c>
      <c r="E8" s="91"/>
      <c r="F8" s="91" t="s">
        <v>176</v>
      </c>
      <c r="G8" s="91"/>
      <c r="H8" s="91"/>
      <c r="I8" s="91"/>
      <c r="J8" s="91"/>
      <c r="K8" s="91"/>
      <c r="L8" s="91"/>
      <c r="M8" s="91"/>
    </row>
    <row r="9" spans="1:13" x14ac:dyDescent="0.25">
      <c r="A9" s="91"/>
      <c r="B9" s="91"/>
      <c r="C9" s="91"/>
      <c r="D9" s="93" t="s">
        <v>403</v>
      </c>
      <c r="E9" s="91"/>
      <c r="F9" s="91" t="s">
        <v>402</v>
      </c>
      <c r="G9" s="91"/>
      <c r="H9" s="91"/>
      <c r="I9" s="91"/>
      <c r="J9" s="91"/>
      <c r="K9" s="91"/>
      <c r="L9" s="91"/>
      <c r="M9" s="91"/>
    </row>
    <row r="10" spans="1:13" x14ac:dyDescent="0.25">
      <c r="A10" s="91"/>
      <c r="B10" s="91"/>
      <c r="C10" s="91"/>
      <c r="D10" s="93" t="s">
        <v>169</v>
      </c>
      <c r="E10" s="91"/>
      <c r="F10" s="91" t="s">
        <v>94</v>
      </c>
      <c r="G10" s="91"/>
      <c r="H10" s="91"/>
      <c r="I10" s="91"/>
      <c r="J10" s="91"/>
      <c r="K10" s="91"/>
      <c r="L10" s="91"/>
      <c r="M10" s="91"/>
    </row>
    <row r="11" spans="1:13" x14ac:dyDescent="0.25">
      <c r="A11" s="91"/>
      <c r="B11" s="91"/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/>
    </row>
    <row r="12" spans="1:13" x14ac:dyDescent="0.25">
      <c r="A12" s="91"/>
      <c r="B12" s="36" t="s">
        <v>96</v>
      </c>
      <c r="C12" s="91"/>
      <c r="D12" s="92" t="s">
        <v>75</v>
      </c>
      <c r="E12" s="91"/>
      <c r="F12" s="91" t="s">
        <v>105</v>
      </c>
      <c r="G12" s="91"/>
      <c r="H12" s="91"/>
      <c r="I12" s="91"/>
      <c r="J12" s="91"/>
      <c r="K12" s="91"/>
      <c r="L12" s="91"/>
      <c r="M12" s="91"/>
    </row>
    <row r="13" spans="1:13" x14ac:dyDescent="0.25">
      <c r="A13" s="91"/>
      <c r="B13" s="91"/>
      <c r="C13" s="91"/>
      <c r="D13" s="92" t="s">
        <v>198</v>
      </c>
      <c r="E13" s="91"/>
      <c r="F13" s="91" t="s">
        <v>111</v>
      </c>
      <c r="G13" s="91"/>
      <c r="H13" s="91"/>
      <c r="I13" s="91"/>
      <c r="J13" s="91"/>
      <c r="K13" s="91"/>
      <c r="L13" s="91"/>
      <c r="M13" s="91"/>
    </row>
    <row r="14" spans="1:13" x14ac:dyDescent="0.25">
      <c r="A14" s="91"/>
      <c r="B14" s="91"/>
      <c r="C14" s="91"/>
      <c r="D14" s="92" t="s">
        <v>199</v>
      </c>
      <c r="E14" s="91"/>
      <c r="F14" s="91" t="s">
        <v>110</v>
      </c>
      <c r="G14" s="91"/>
      <c r="H14" s="91"/>
      <c r="I14" s="91"/>
      <c r="J14" s="91"/>
      <c r="K14" s="91"/>
      <c r="L14" s="91"/>
      <c r="M14" s="91"/>
    </row>
    <row r="15" spans="1:13" x14ac:dyDescent="0.25">
      <c r="A15" s="91"/>
      <c r="B15" s="91"/>
      <c r="C15" s="91"/>
      <c r="D15" s="92" t="s">
        <v>74</v>
      </c>
      <c r="E15" s="91"/>
      <c r="F15" s="91" t="s">
        <v>109</v>
      </c>
      <c r="G15" s="91"/>
      <c r="H15" s="91"/>
      <c r="I15" s="91"/>
      <c r="J15" s="91"/>
      <c r="K15" s="91"/>
      <c r="L15" s="91"/>
      <c r="M15" s="91"/>
    </row>
    <row r="16" spans="1:13" x14ac:dyDescent="0.25">
      <c r="A16" s="91"/>
      <c r="B16" s="91"/>
      <c r="C16" s="91"/>
      <c r="D16" s="92" t="s">
        <v>200</v>
      </c>
      <c r="E16" s="91"/>
      <c r="F16" s="91" t="s">
        <v>99</v>
      </c>
      <c r="G16" s="91"/>
      <c r="H16" s="91"/>
      <c r="I16" s="91"/>
      <c r="J16" s="91"/>
      <c r="K16" s="91"/>
      <c r="L16" s="91"/>
      <c r="M16" s="91"/>
    </row>
    <row r="17" spans="1:13" x14ac:dyDescent="0.25">
      <c r="A17" s="91"/>
      <c r="B17" s="91"/>
      <c r="C17" s="91"/>
      <c r="D17" s="93" t="s">
        <v>201</v>
      </c>
      <c r="E17" s="91"/>
      <c r="F17" s="91" t="s">
        <v>104</v>
      </c>
      <c r="G17" s="91"/>
      <c r="H17" s="91"/>
      <c r="I17" s="91"/>
      <c r="J17" s="91"/>
      <c r="K17" s="91"/>
      <c r="L17" s="91"/>
      <c r="M17" s="91"/>
    </row>
    <row r="18" spans="1:13" x14ac:dyDescent="0.25">
      <c r="A18" s="91"/>
      <c r="B18" s="91"/>
      <c r="C18" s="91"/>
      <c r="D18" s="92" t="s">
        <v>100</v>
      </c>
      <c r="E18" s="91"/>
      <c r="F18" s="91" t="s">
        <v>173</v>
      </c>
      <c r="G18" s="91"/>
      <c r="H18" s="91"/>
      <c r="I18" s="91"/>
      <c r="J18" s="91"/>
      <c r="K18" s="91"/>
      <c r="L18" s="91"/>
      <c r="M18" s="91"/>
    </row>
    <row r="19" spans="1:13" ht="15.75" x14ac:dyDescent="0.25">
      <c r="A19" s="91"/>
      <c r="B19" s="91"/>
      <c r="C19" s="91"/>
      <c r="D19" s="92" t="s">
        <v>210</v>
      </c>
      <c r="E19" s="91"/>
      <c r="F19" s="91" t="s">
        <v>183</v>
      </c>
      <c r="G19" s="91"/>
      <c r="H19" s="91"/>
      <c r="I19" s="94"/>
      <c r="J19" s="91"/>
      <c r="K19" s="91"/>
      <c r="L19" s="91"/>
      <c r="M19" s="91"/>
    </row>
    <row r="20" spans="1:13" x14ac:dyDescent="0.25">
      <c r="A20" s="91"/>
      <c r="B20" s="91"/>
      <c r="C20" s="91"/>
      <c r="D20" s="93" t="s">
        <v>186</v>
      </c>
      <c r="E20" s="91"/>
      <c r="F20" s="91" t="s">
        <v>407</v>
      </c>
      <c r="G20" s="91"/>
      <c r="H20" s="91"/>
      <c r="I20" s="91"/>
      <c r="J20" s="91"/>
      <c r="K20" s="91"/>
      <c r="L20" s="91"/>
      <c r="M20" s="91"/>
    </row>
    <row r="21" spans="1:13" x14ac:dyDescent="0.25">
      <c r="A21" s="91"/>
      <c r="B21" s="91"/>
      <c r="C21" s="91"/>
      <c r="D21" s="91"/>
      <c r="E21" s="91"/>
      <c r="F21" s="91"/>
      <c r="G21" s="91"/>
      <c r="H21" s="91"/>
      <c r="I21" s="91"/>
      <c r="J21" s="91"/>
      <c r="K21" s="91"/>
      <c r="L21" s="91"/>
      <c r="M21" s="91"/>
    </row>
    <row r="22" spans="1:13" x14ac:dyDescent="0.25">
      <c r="A22" s="91"/>
      <c r="B22" s="91"/>
      <c r="C22" s="91"/>
      <c r="D22" s="91"/>
      <c r="E22" s="91"/>
      <c r="F22" s="91"/>
      <c r="G22" s="91"/>
      <c r="H22" s="91"/>
      <c r="I22" s="91"/>
      <c r="J22" s="91"/>
      <c r="K22" s="91"/>
      <c r="L22" s="91"/>
      <c r="M22" s="91"/>
    </row>
    <row r="23" spans="1:13" x14ac:dyDescent="0.25">
      <c r="A23" s="91"/>
      <c r="B23" s="91"/>
      <c r="C23" s="91"/>
      <c r="D23" s="91"/>
      <c r="E23" s="91"/>
      <c r="F23" s="91"/>
      <c r="G23" s="91"/>
      <c r="H23" s="91"/>
      <c r="I23" s="91"/>
      <c r="J23" s="91"/>
      <c r="K23" s="91"/>
      <c r="L23" s="91"/>
      <c r="M23" s="91"/>
    </row>
    <row r="24" spans="1:13" x14ac:dyDescent="0.2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</row>
    <row r="25" spans="1:13" x14ac:dyDescent="0.25">
      <c r="A25" s="95" t="s">
        <v>130</v>
      </c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</row>
    <row r="26" spans="1:13" ht="165" customHeight="1" x14ac:dyDescent="0.25">
      <c r="A26" s="91"/>
      <c r="B26" s="129" t="s">
        <v>408</v>
      </c>
      <c r="C26" s="129"/>
      <c r="D26" s="129"/>
      <c r="E26" s="129"/>
      <c r="F26" s="129"/>
      <c r="G26" s="129"/>
      <c r="H26" s="129"/>
      <c r="I26" s="129"/>
      <c r="J26" s="129"/>
      <c r="K26" s="129"/>
      <c r="L26" s="91"/>
      <c r="M26" s="91"/>
    </row>
  </sheetData>
  <mergeCells count="1">
    <mergeCell ref="B26:K26"/>
  </mergeCells>
  <hyperlinks>
    <hyperlink ref="B2" r:id="rId1" xr:uid="{7AA10BD9-AD71-4C62-9F40-928CE314C28F}"/>
    <hyperlink ref="D8" location="README!A1" display="Flowchart" xr:uid="{58AF8035-07FC-42EA-89B4-D438DC2F5429}"/>
    <hyperlink ref="D10" location="README!A1" display="Output" xr:uid="{DBF01AF0-A939-41AB-9862-1D0F0D60BB3A}"/>
    <hyperlink ref="D12" location="Treatment!A1" display="Treatment" xr:uid="{A1EAD326-83B0-426C-AC2C-1D25F88936D4}"/>
    <hyperlink ref="D13" location="Staff!A1" display="Staff" xr:uid="{6294262C-94FC-471A-9029-F3FA40DD6741}"/>
    <hyperlink ref="D14" location="Salaries!A1" display="Salaries" xr:uid="{4C934039-EE28-4485-89D8-914AED724E1D}"/>
    <hyperlink ref="D15" location="Equipment!A1" display="Equipment" xr:uid="{EEA9405B-EA38-4508-A4E3-2834EF171FFE}"/>
    <hyperlink ref="D16" location="Oncosts!A1" display="Oncosts" xr:uid="{D945A010-0C2E-4CF1-AD87-06A7F855AA9D}"/>
    <hyperlink ref="D17" location="'Appt Admin'!A1" display="Appt Admin" xr:uid="{D6FC379C-54C7-41F9-8405-06C0B344C213}"/>
    <hyperlink ref="D18" location="Meetings!A1" display="Meetings" xr:uid="{F605A00C-9749-4C5B-BC23-2450316E5E03}"/>
    <hyperlink ref="D19" location="incidents!A1" display="Incidents" xr:uid="{FCBA2464-FD49-492F-BEBB-1390CD7D4860}"/>
    <hyperlink ref="D20" location="'Total costs'!A1" display="Total costs" xr:uid="{5CD2342B-AFAA-4766-B5C9-E5F80B68382B}"/>
    <hyperlink ref="D9" location="README!A1" display="Scenarios" xr:uid="{90C62DDB-4EE1-4DE9-A3D6-46979152851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A6516-3AE4-4E2F-8C4E-609A144E824B}">
  <sheetPr codeName="Sheet2"/>
  <dimension ref="A1:B1"/>
  <sheetViews>
    <sheetView zoomScale="55" zoomScaleNormal="55" workbookViewId="0"/>
  </sheetViews>
  <sheetFormatPr defaultRowHeight="15" x14ac:dyDescent="0.25"/>
  <cols>
    <col min="2" max="2" width="12.28515625" customWidth="1"/>
    <col min="3" max="3" width="15.85546875" customWidth="1"/>
    <col min="4" max="4" width="12" customWidth="1"/>
    <col min="5" max="5" width="12.140625" customWidth="1"/>
    <col min="6" max="6" width="7.42578125" customWidth="1"/>
    <col min="7" max="7" width="10.7109375" customWidth="1"/>
    <col min="8" max="8" width="11.42578125" bestFit="1" customWidth="1"/>
    <col min="9" max="9" width="18" customWidth="1"/>
    <col min="10" max="10" width="16.140625" bestFit="1" customWidth="1"/>
    <col min="11" max="11" width="10.140625" customWidth="1"/>
    <col min="12" max="12" width="6" customWidth="1"/>
    <col min="14" max="14" width="16.140625" bestFit="1" customWidth="1"/>
    <col min="15" max="15" width="10" bestFit="1" customWidth="1"/>
    <col min="16" max="16" width="7.7109375" bestFit="1" customWidth="1"/>
    <col min="18" max="18" width="16.140625" bestFit="1" customWidth="1"/>
    <col min="19" max="19" width="12.5703125" customWidth="1"/>
    <col min="20" max="20" width="18.5703125" bestFit="1" customWidth="1"/>
    <col min="23" max="23" width="9.5703125" customWidth="1"/>
    <col min="24" max="24" width="5.7109375" customWidth="1"/>
  </cols>
  <sheetData>
    <row r="1" spans="1:2" ht="28.5" x14ac:dyDescent="0.45">
      <c r="A1" s="126" t="s">
        <v>271</v>
      </c>
      <c r="B1" s="1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313D2-FB4B-4737-9EB5-FF3F5C129F5E}">
  <sheetPr codeName="Sheet3"/>
  <dimension ref="A1:N78"/>
  <sheetViews>
    <sheetView zoomScale="70" zoomScaleNormal="70" workbookViewId="0">
      <selection activeCell="I6" sqref="I6"/>
    </sheetView>
  </sheetViews>
  <sheetFormatPr defaultRowHeight="15" x14ac:dyDescent="0.25"/>
  <cols>
    <col min="1" max="1" width="11.85546875" bestFit="1" customWidth="1"/>
    <col min="2" max="2" width="20.28515625" style="13" bestFit="1" customWidth="1"/>
    <col min="3" max="3" width="29.140625" style="15" customWidth="1"/>
    <col min="4" max="4" width="22.42578125" bestFit="1" customWidth="1"/>
    <col min="5" max="5" width="12.28515625" bestFit="1" customWidth="1"/>
    <col min="6" max="6" width="10.85546875" bestFit="1" customWidth="1"/>
    <col min="7" max="7" width="11.140625" bestFit="1" customWidth="1"/>
    <col min="8" max="8" width="4.140625" customWidth="1"/>
    <col min="13" max="13" width="15" customWidth="1"/>
  </cols>
  <sheetData>
    <row r="1" spans="1:9" ht="18.75" x14ac:dyDescent="0.3">
      <c r="A1" s="26" t="s">
        <v>273</v>
      </c>
    </row>
    <row r="2" spans="1:9" x14ac:dyDescent="0.25">
      <c r="E2" s="45" t="s">
        <v>119</v>
      </c>
      <c r="F2" s="45" t="s">
        <v>120</v>
      </c>
      <c r="G2" s="45" t="s">
        <v>106</v>
      </c>
    </row>
    <row r="3" spans="1:9" x14ac:dyDescent="0.25">
      <c r="B3" s="70" t="s">
        <v>228</v>
      </c>
      <c r="C3" s="71" t="s">
        <v>276</v>
      </c>
    </row>
    <row r="4" spans="1:9" x14ac:dyDescent="0.25">
      <c r="D4" t="s">
        <v>77</v>
      </c>
      <c r="E4">
        <f>t_phone_preRA</f>
        <v>0.25</v>
      </c>
      <c r="F4">
        <v>1</v>
      </c>
      <c r="G4" s="16">
        <f>E4*c_nurse_7_hr_outside</f>
        <v>4.6687327823691458</v>
      </c>
    </row>
    <row r="5" spans="1:9" x14ac:dyDescent="0.25">
      <c r="D5" t="s">
        <v>129</v>
      </c>
      <c r="E5" s="31"/>
      <c r="F5" s="31"/>
      <c r="G5" s="16">
        <f>G4*(p_pension18+p_admin+p_NI)</f>
        <v>1.6097790633608815</v>
      </c>
    </row>
    <row r="6" spans="1:9" x14ac:dyDescent="0.25">
      <c r="D6" t="s">
        <v>55</v>
      </c>
      <c r="E6" s="31"/>
      <c r="F6" s="31"/>
      <c r="G6" s="46">
        <f>SUM(G4:G5)</f>
        <v>6.2785118457300273</v>
      </c>
      <c r="I6" s="34" t="s">
        <v>286</v>
      </c>
    </row>
    <row r="7" spans="1:9" x14ac:dyDescent="0.25">
      <c r="E7" s="31"/>
      <c r="F7" s="31"/>
      <c r="G7" s="16"/>
      <c r="I7" s="34"/>
    </row>
    <row r="8" spans="1:9" x14ac:dyDescent="0.25">
      <c r="E8" s="31"/>
      <c r="F8" s="31"/>
      <c r="G8" s="16"/>
      <c r="I8" s="34"/>
    </row>
    <row r="9" spans="1:9" x14ac:dyDescent="0.25">
      <c r="B9" s="70" t="s">
        <v>229</v>
      </c>
      <c r="C9" s="71" t="s">
        <v>275</v>
      </c>
      <c r="D9" s="44"/>
    </row>
    <row r="10" spans="1:9" x14ac:dyDescent="0.25">
      <c r="D10" t="s">
        <v>77</v>
      </c>
      <c r="E10">
        <f>t_siteRA</f>
        <v>2</v>
      </c>
      <c r="F10">
        <v>2</v>
      </c>
      <c r="G10" s="16">
        <f>E10*F10*c_nurse_7_hr_outside</f>
        <v>74.699724517906333</v>
      </c>
    </row>
    <row r="11" spans="1:9" x14ac:dyDescent="0.25">
      <c r="D11" t="s">
        <v>122</v>
      </c>
      <c r="F11">
        <f>d_site</f>
        <v>20</v>
      </c>
      <c r="G11" s="16">
        <f>F11*c_drive</f>
        <v>10</v>
      </c>
    </row>
    <row r="12" spans="1:9" x14ac:dyDescent="0.25">
      <c r="D12" s="83" t="s">
        <v>250</v>
      </c>
      <c r="E12" s="83">
        <f>t_siteRA</f>
        <v>2</v>
      </c>
      <c r="F12" s="83">
        <v>1</v>
      </c>
      <c r="G12" s="100"/>
    </row>
    <row r="13" spans="1:9" x14ac:dyDescent="0.25">
      <c r="D13" t="s">
        <v>129</v>
      </c>
      <c r="G13" s="16">
        <f>(G10+G12)*(p_pension18+p_admin+p_NI)</f>
        <v>25.756465013774104</v>
      </c>
    </row>
    <row r="14" spans="1:9" x14ac:dyDescent="0.25">
      <c r="D14" t="s">
        <v>55</v>
      </c>
      <c r="G14" s="46">
        <f>SUM(G10:G13)</f>
        <v>110.45618953168044</v>
      </c>
      <c r="I14" s="34" t="s">
        <v>233</v>
      </c>
    </row>
    <row r="15" spans="1:9" x14ac:dyDescent="0.25">
      <c r="G15" s="16"/>
      <c r="I15" s="34"/>
    </row>
    <row r="16" spans="1:9" x14ac:dyDescent="0.25">
      <c r="G16" s="16"/>
      <c r="I16" s="34"/>
    </row>
    <row r="17" spans="1:9" x14ac:dyDescent="0.25">
      <c r="B17" s="70" t="s">
        <v>66</v>
      </c>
      <c r="C17" s="71" t="s">
        <v>274</v>
      </c>
      <c r="G17" s="16"/>
    </row>
    <row r="18" spans="1:9" x14ac:dyDescent="0.25">
      <c r="B18" s="70"/>
      <c r="C18" s="72"/>
      <c r="D18" t="s">
        <v>172</v>
      </c>
      <c r="G18" s="16">
        <f>c_incid_meet_salary_BIRM</f>
        <v>124.61404958677687</v>
      </c>
    </row>
    <row r="19" spans="1:9" x14ac:dyDescent="0.25">
      <c r="B19" s="70"/>
      <c r="C19" s="72"/>
      <c r="D19" t="s">
        <v>129</v>
      </c>
      <c r="G19" s="16">
        <f>G18*(p_pension18+p_admin+p_NI)</f>
        <v>42.966924297520663</v>
      </c>
    </row>
    <row r="20" spans="1:9" x14ac:dyDescent="0.25">
      <c r="D20" t="s">
        <v>55</v>
      </c>
      <c r="G20" s="46">
        <f>SUM(G18:G19)</f>
        <v>167.58097388429752</v>
      </c>
      <c r="I20" s="34" t="s">
        <v>234</v>
      </c>
    </row>
    <row r="21" spans="1:9" x14ac:dyDescent="0.25">
      <c r="G21" s="16"/>
    </row>
    <row r="22" spans="1:9" x14ac:dyDescent="0.25">
      <c r="G22" s="16"/>
    </row>
    <row r="23" spans="1:9" x14ac:dyDescent="0.25">
      <c r="B23" s="70" t="s">
        <v>170</v>
      </c>
      <c r="C23" s="71" t="s">
        <v>178</v>
      </c>
    </row>
    <row r="24" spans="1:9" x14ac:dyDescent="0.25">
      <c r="D24" t="s">
        <v>77</v>
      </c>
      <c r="E24">
        <f>t_inform_pp</f>
        <v>0.33</v>
      </c>
      <c r="F24">
        <f>outbreak_size</f>
        <v>100</v>
      </c>
      <c r="G24" s="16">
        <f>E24*c_nurse_7_hr_outside*F24</f>
        <v>616.27272727272725</v>
      </c>
    </row>
    <row r="25" spans="1:9" x14ac:dyDescent="0.25">
      <c r="D25" t="s">
        <v>129</v>
      </c>
      <c r="G25" s="16">
        <f>G24*(p_pension18+p_admin+p_NI)</f>
        <v>212.49083636363636</v>
      </c>
    </row>
    <row r="26" spans="1:9" x14ac:dyDescent="0.25">
      <c r="D26" t="s">
        <v>55</v>
      </c>
      <c r="G26" s="46">
        <f>SUM(G24:G25)</f>
        <v>828.76356363636364</v>
      </c>
      <c r="I26" s="34" t="s">
        <v>415</v>
      </c>
    </row>
    <row r="27" spans="1:9" x14ac:dyDescent="0.25">
      <c r="A27" t="s">
        <v>272</v>
      </c>
      <c r="G27" s="16"/>
      <c r="I27" s="34"/>
    </row>
    <row r="28" spans="1:9" x14ac:dyDescent="0.25">
      <c r="B28" s="70" t="s">
        <v>230</v>
      </c>
      <c r="C28" s="71" t="s">
        <v>395</v>
      </c>
      <c r="E28" s="44"/>
      <c r="F28" s="44"/>
    </row>
    <row r="29" spans="1:9" x14ac:dyDescent="0.25">
      <c r="D29" t="s">
        <v>77</v>
      </c>
      <c r="F29">
        <f>outbreak_size</f>
        <v>100</v>
      </c>
      <c r="G29" s="6">
        <f>outbreak_size*c_apptnurse</f>
        <v>7600</v>
      </c>
    </row>
    <row r="30" spans="1:9" x14ac:dyDescent="0.25">
      <c r="D30" t="s">
        <v>123</v>
      </c>
      <c r="F30">
        <f>outbreak_size</f>
        <v>100</v>
      </c>
      <c r="G30" s="6">
        <f>outbreak_size*c_blood</f>
        <v>3600</v>
      </c>
    </row>
    <row r="31" spans="1:9" x14ac:dyDescent="0.25">
      <c r="D31" t="s">
        <v>124</v>
      </c>
      <c r="E31">
        <f>t_admin_appt</f>
        <v>0.33</v>
      </c>
      <c r="F31">
        <f>num_identified</f>
        <v>150</v>
      </c>
      <c r="G31" s="6">
        <f>num_identified*E31*c_nurse_3_hr_outside</f>
        <v>495.19090909090909</v>
      </c>
    </row>
    <row r="32" spans="1:9" x14ac:dyDescent="0.25">
      <c r="D32" t="s">
        <v>125</v>
      </c>
      <c r="E32">
        <f>t_admin_post</f>
        <v>0.25</v>
      </c>
      <c r="F32">
        <f>outbreak_size</f>
        <v>100</v>
      </c>
      <c r="G32" s="6">
        <f>outbreak_size*E32*c_nurse_3_hr_outside</f>
        <v>250.09641873278235</v>
      </c>
    </row>
    <row r="33" spans="2:14" x14ac:dyDescent="0.25">
      <c r="D33" t="s">
        <v>129</v>
      </c>
      <c r="G33" s="7">
        <f>(G29+G31+G32)*(p_pension18+p_admin+p_NI)</f>
        <v>2877.4550706336086</v>
      </c>
    </row>
    <row r="34" spans="2:14" x14ac:dyDescent="0.25">
      <c r="D34" t="s">
        <v>55</v>
      </c>
      <c r="G34" s="47">
        <f>SUM(G29:G33)</f>
        <v>14822.7423984573</v>
      </c>
      <c r="I34" s="34" t="s">
        <v>336</v>
      </c>
    </row>
    <row r="35" spans="2:14" x14ac:dyDescent="0.25">
      <c r="G35" s="6"/>
      <c r="I35" s="34"/>
    </row>
    <row r="36" spans="2:14" x14ac:dyDescent="0.25">
      <c r="G36" s="6"/>
      <c r="I36" s="34"/>
    </row>
    <row r="37" spans="2:14" x14ac:dyDescent="0.25">
      <c r="B37" s="70" t="s">
        <v>231</v>
      </c>
      <c r="C37" s="71" t="s">
        <v>277</v>
      </c>
      <c r="D37" s="44"/>
    </row>
    <row r="38" spans="2:14" x14ac:dyDescent="0.25">
      <c r="D38" t="s">
        <v>363</v>
      </c>
      <c r="E38">
        <f>_xlfn.CEILING.MATH(outbreak_size/max_screen)*8</f>
        <v>8</v>
      </c>
      <c r="F38">
        <v>1</v>
      </c>
      <c r="G38" s="16">
        <f>F38*c_nurse_7_hr_outside*E38</f>
        <v>149.39944903581267</v>
      </c>
      <c r="I38" s="127" t="s">
        <v>366</v>
      </c>
      <c r="N38" s="77" t="s">
        <v>412</v>
      </c>
    </row>
    <row r="39" spans="2:14" x14ac:dyDescent="0.25">
      <c r="D39" t="s">
        <v>364</v>
      </c>
      <c r="E39">
        <f>_xlfn.CEILING.MATH(outbreak_size/max_screen)*8</f>
        <v>8</v>
      </c>
      <c r="F39">
        <v>1</v>
      </c>
      <c r="G39" s="16">
        <f>F39*c_hpp_hr_outside*E39</f>
        <v>170.86501377410468</v>
      </c>
    </row>
    <row r="40" spans="2:14" x14ac:dyDescent="0.25">
      <c r="D40" t="s">
        <v>122</v>
      </c>
      <c r="E40">
        <f>F38+F39</f>
        <v>2</v>
      </c>
      <c r="F40">
        <f>d_site</f>
        <v>20</v>
      </c>
      <c r="G40" s="16">
        <f>E40*F40*c_drive</f>
        <v>20</v>
      </c>
      <c r="I40" s="127" t="s">
        <v>365</v>
      </c>
      <c r="M40" s="77" t="s">
        <v>409</v>
      </c>
    </row>
    <row r="41" spans="2:14" x14ac:dyDescent="0.25">
      <c r="D41" t="s">
        <v>126</v>
      </c>
      <c r="F41">
        <f>outbreak_size</f>
        <v>100</v>
      </c>
      <c r="G41" s="6">
        <f>F41*c_blood</f>
        <v>3600</v>
      </c>
      <c r="I41" s="109"/>
    </row>
    <row r="42" spans="2:14" x14ac:dyDescent="0.25">
      <c r="D42" t="s">
        <v>137</v>
      </c>
      <c r="E42">
        <f>_xlfn.CEILING.MATH(outbreak_size/max_screen)</f>
        <v>1</v>
      </c>
      <c r="F42">
        <v>3</v>
      </c>
      <c r="G42" s="6">
        <f>F42*E42*c_phleb</f>
        <v>660</v>
      </c>
    </row>
    <row r="43" spans="2:14" x14ac:dyDescent="0.25">
      <c r="D43" t="s">
        <v>305</v>
      </c>
      <c r="E43">
        <f>t_admin_post</f>
        <v>0.25</v>
      </c>
      <c r="F43">
        <f>outbreak_size</f>
        <v>100</v>
      </c>
      <c r="G43" s="6">
        <f>F43*t_admin_post*c_nurse_3_hr_outside</f>
        <v>250.09641873278235</v>
      </c>
    </row>
    <row r="44" spans="2:14" x14ac:dyDescent="0.25">
      <c r="D44" t="s">
        <v>304</v>
      </c>
      <c r="E44">
        <f>t_admin_id</f>
        <v>0.25</v>
      </c>
      <c r="F44">
        <f>num_identified</f>
        <v>150</v>
      </c>
      <c r="G44" s="6">
        <f>F44*t_admin_id*c_nurse_3_hr_outside</f>
        <v>375.14462809917353</v>
      </c>
    </row>
    <row r="45" spans="2:14" x14ac:dyDescent="0.25">
      <c r="D45" t="s">
        <v>127</v>
      </c>
      <c r="G45" s="16">
        <f>c_meeting_review_BIRM</f>
        <v>124.61404958677687</v>
      </c>
    </row>
    <row r="46" spans="2:14" x14ac:dyDescent="0.25">
      <c r="D46" t="s">
        <v>129</v>
      </c>
      <c r="G46" s="16">
        <f>(G38+G39+G43+G44+G45)*(p_pension18+p_admin+p_NI)</f>
        <v>368.97722402203857</v>
      </c>
    </row>
    <row r="47" spans="2:14" x14ac:dyDescent="0.25">
      <c r="D47" t="s">
        <v>55</v>
      </c>
      <c r="G47" s="46">
        <f>SUM(G38:G46)</f>
        <v>5719.0967832506876</v>
      </c>
      <c r="I47" s="34" t="s">
        <v>306</v>
      </c>
    </row>
    <row r="48" spans="2:14" x14ac:dyDescent="0.25">
      <c r="G48" s="16"/>
      <c r="I48" s="34"/>
    </row>
    <row r="49" spans="2:14" x14ac:dyDescent="0.25">
      <c r="C49" s="71" t="s">
        <v>278</v>
      </c>
      <c r="D49" s="44"/>
    </row>
    <row r="50" spans="2:14" x14ac:dyDescent="0.25">
      <c r="D50" t="s">
        <v>77</v>
      </c>
      <c r="E50">
        <f>_xlfn.CEILING.MATH(outbreak_size/max_screen)*8</f>
        <v>8</v>
      </c>
      <c r="F50">
        <v>4</v>
      </c>
      <c r="G50" s="16">
        <f>F50*c_nurse_7_hr_outside*E50</f>
        <v>597.59779614325066</v>
      </c>
      <c r="I50" s="127" t="s">
        <v>367</v>
      </c>
      <c r="N50" s="77" t="s">
        <v>410</v>
      </c>
    </row>
    <row r="51" spans="2:14" x14ac:dyDescent="0.25">
      <c r="D51" t="s">
        <v>252</v>
      </c>
      <c r="E51">
        <f>_xlfn.CEILING.MATH(outbreak_size/max_screen)*8</f>
        <v>8</v>
      </c>
      <c r="F51">
        <v>1</v>
      </c>
      <c r="G51" s="16">
        <f>F51*c_hpp_hr_outside*E51</f>
        <v>170.86501377410468</v>
      </c>
    </row>
    <row r="52" spans="2:14" x14ac:dyDescent="0.25">
      <c r="D52" t="s">
        <v>122</v>
      </c>
      <c r="E52">
        <f>F50+F51</f>
        <v>5</v>
      </c>
      <c r="F52">
        <f>d_site</f>
        <v>20</v>
      </c>
      <c r="G52" s="16">
        <f>E52*F52*c_drive</f>
        <v>50</v>
      </c>
    </row>
    <row r="53" spans="2:14" x14ac:dyDescent="0.25">
      <c r="D53" t="s">
        <v>126</v>
      </c>
      <c r="F53">
        <f>outbreak_size</f>
        <v>100</v>
      </c>
      <c r="G53" s="6">
        <f>F53*c_blood</f>
        <v>3600</v>
      </c>
      <c r="I53" s="77" t="s">
        <v>411</v>
      </c>
    </row>
    <row r="54" spans="2:14" x14ac:dyDescent="0.25">
      <c r="D54" t="s">
        <v>125</v>
      </c>
      <c r="E54">
        <f>t_admin_post</f>
        <v>0.25</v>
      </c>
      <c r="F54">
        <f>outbreak_size</f>
        <v>100</v>
      </c>
      <c r="G54" s="6">
        <f>F54*t_admin_post*c_nurse_3_hr_outside</f>
        <v>250.09641873278235</v>
      </c>
    </row>
    <row r="55" spans="2:14" x14ac:dyDescent="0.25">
      <c r="D55" t="s">
        <v>304</v>
      </c>
      <c r="E55">
        <f>t_admin_id</f>
        <v>0.25</v>
      </c>
      <c r="F55">
        <f>num_identified</f>
        <v>150</v>
      </c>
      <c r="G55" s="6">
        <f>F55*t_admin_id*c_nurse_3_hr_outside</f>
        <v>375.14462809917353</v>
      </c>
    </row>
    <row r="56" spans="2:14" x14ac:dyDescent="0.25">
      <c r="D56" t="s">
        <v>127</v>
      </c>
      <c r="G56" s="16">
        <f>c_meeting_review_BIRM</f>
        <v>124.61404958677687</v>
      </c>
    </row>
    <row r="57" spans="2:14" x14ac:dyDescent="0.25">
      <c r="D57" t="s">
        <v>129</v>
      </c>
      <c r="G57" s="16">
        <f>(G50+G51+G54+G55+G56)*p_pensionNI</f>
        <v>523.51601410468311</v>
      </c>
    </row>
    <row r="58" spans="2:14" x14ac:dyDescent="0.25">
      <c r="D58" t="s">
        <v>55</v>
      </c>
      <c r="G58" s="46">
        <f>SUM(G50:G57)</f>
        <v>5691.8339204407712</v>
      </c>
      <c r="I58" s="34" t="s">
        <v>368</v>
      </c>
    </row>
    <row r="59" spans="2:14" x14ac:dyDescent="0.25">
      <c r="G59" s="16"/>
      <c r="I59" s="34"/>
    </row>
    <row r="60" spans="2:14" x14ac:dyDescent="0.25">
      <c r="G60" s="16"/>
      <c r="I60" s="34"/>
    </row>
    <row r="61" spans="2:14" x14ac:dyDescent="0.25">
      <c r="B61" s="70" t="s">
        <v>107</v>
      </c>
      <c r="C61" s="71" t="s">
        <v>202</v>
      </c>
    </row>
    <row r="62" spans="2:14" x14ac:dyDescent="0.25">
      <c r="D62" t="s">
        <v>77</v>
      </c>
      <c r="E62">
        <f>t_QandA</f>
        <v>2</v>
      </c>
      <c r="G62" s="16">
        <f>c_nurse_7_hr_outside*E62</f>
        <v>37.349862258953166</v>
      </c>
    </row>
    <row r="63" spans="2:14" x14ac:dyDescent="0.25">
      <c r="D63" t="s">
        <v>252</v>
      </c>
      <c r="E63">
        <f>t_QandA</f>
        <v>2</v>
      </c>
      <c r="G63" s="16">
        <f>E63*c_hpp_hr_london</f>
        <v>48.290909090909089</v>
      </c>
    </row>
    <row r="64" spans="2:14" x14ac:dyDescent="0.25">
      <c r="D64" t="s">
        <v>196</v>
      </c>
      <c r="E64">
        <f>t_QandA</f>
        <v>2</v>
      </c>
      <c r="G64" s="16">
        <f>E64*c_TBphys_hr_outside</f>
        <v>95.260055096418739</v>
      </c>
    </row>
    <row r="65" spans="2:13" x14ac:dyDescent="0.25">
      <c r="D65" t="s">
        <v>129</v>
      </c>
      <c r="G65" s="16">
        <f>(G62+G63+G64)*(p_pension18+p_admin+p_NI)</f>
        <v>62.374604958677686</v>
      </c>
    </row>
    <row r="66" spans="2:13" x14ac:dyDescent="0.25">
      <c r="D66" t="s">
        <v>55</v>
      </c>
      <c r="G66" s="48">
        <f>SUM(G62:G65)</f>
        <v>243.27543140495868</v>
      </c>
      <c r="I66" s="34" t="s">
        <v>269</v>
      </c>
    </row>
    <row r="67" spans="2:13" x14ac:dyDescent="0.25">
      <c r="G67" s="31"/>
      <c r="I67" s="34"/>
    </row>
    <row r="68" spans="2:13" x14ac:dyDescent="0.25">
      <c r="B68" s="70" t="s">
        <v>232</v>
      </c>
      <c r="C68" s="71" t="s">
        <v>179</v>
      </c>
    </row>
    <row r="69" spans="2:13" x14ac:dyDescent="0.25">
      <c r="D69" t="s">
        <v>77</v>
      </c>
      <c r="E69" s="73">
        <f>t_enquire</f>
        <v>2</v>
      </c>
      <c r="G69">
        <f>E69*c_nurse_6_hr_outside</f>
        <v>31.676033057851239</v>
      </c>
      <c r="I69" s="109" t="s">
        <v>369</v>
      </c>
    </row>
    <row r="70" spans="2:13" x14ac:dyDescent="0.25">
      <c r="D70" t="s">
        <v>129</v>
      </c>
      <c r="G70">
        <f>G69*(p_pension18+p_admin+p_NI)</f>
        <v>10.921896198347106</v>
      </c>
    </row>
    <row r="71" spans="2:13" x14ac:dyDescent="0.25">
      <c r="D71" t="s">
        <v>55</v>
      </c>
      <c r="G71" s="49">
        <f>SUM(G69:G70)</f>
        <v>42.597929256198341</v>
      </c>
      <c r="I71" s="34" t="s">
        <v>270</v>
      </c>
    </row>
    <row r="72" spans="2:13" x14ac:dyDescent="0.25">
      <c r="I72" s="34"/>
    </row>
    <row r="73" spans="2:13" x14ac:dyDescent="0.25">
      <c r="B73" s="122" t="s">
        <v>75</v>
      </c>
      <c r="C73" s="71" t="s">
        <v>180</v>
      </c>
    </row>
    <row r="74" spans="2:13" x14ac:dyDescent="0.25">
      <c r="D74" t="s">
        <v>128</v>
      </c>
      <c r="F74">
        <f>outbreak_size*p_pos</f>
        <v>10</v>
      </c>
      <c r="G74" s="16">
        <f>F74*c_Tx</f>
        <v>8520</v>
      </c>
      <c r="I74" s="34" t="s">
        <v>177</v>
      </c>
      <c r="M74" s="77" t="s">
        <v>414</v>
      </c>
    </row>
    <row r="75" spans="2:13" x14ac:dyDescent="0.25">
      <c r="G75" s="16"/>
      <c r="I75" s="34" t="s">
        <v>335</v>
      </c>
    </row>
    <row r="77" spans="2:13" x14ac:dyDescent="0.25">
      <c r="B77" s="70" t="s">
        <v>399</v>
      </c>
      <c r="C77" s="71" t="s">
        <v>400</v>
      </c>
    </row>
    <row r="78" spans="2:13" x14ac:dyDescent="0.25">
      <c r="B78" s="70"/>
      <c r="C78" s="71"/>
      <c r="D78" t="s">
        <v>401</v>
      </c>
      <c r="F78">
        <f>outbreak_size*p_pos</f>
        <v>10</v>
      </c>
      <c r="G78">
        <f>c_fup_appt*F78</f>
        <v>599.6</v>
      </c>
      <c r="I78" s="109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FDC8C-834F-473D-9FB7-8A7D1CA9E366}">
  <sheetPr codeName="Sheet4"/>
  <dimension ref="A1:R84"/>
  <sheetViews>
    <sheetView zoomScale="70" zoomScaleNormal="70" workbookViewId="0">
      <selection activeCell="C2" sqref="C2"/>
    </sheetView>
  </sheetViews>
  <sheetFormatPr defaultRowHeight="15" x14ac:dyDescent="0.25"/>
  <cols>
    <col min="1" max="1" width="10.7109375" bestFit="1" customWidth="1"/>
    <col min="2" max="2" width="17.28515625" customWidth="1"/>
    <col min="3" max="3" width="13.85546875" bestFit="1" customWidth="1"/>
    <col min="4" max="4" width="15.140625" bestFit="1" customWidth="1"/>
    <col min="5" max="5" width="15.7109375" bestFit="1" customWidth="1"/>
    <col min="6" max="8" width="15.140625" bestFit="1" customWidth="1"/>
    <col min="9" max="9" width="17.85546875" customWidth="1"/>
    <col min="10" max="10" width="87.7109375" bestFit="1" customWidth="1"/>
    <col min="11" max="11" width="14.7109375" customWidth="1"/>
    <col min="12" max="12" width="13.140625" customWidth="1"/>
    <col min="13" max="13" width="13.7109375" bestFit="1" customWidth="1"/>
    <col min="14" max="14" width="12" bestFit="1" customWidth="1"/>
    <col min="15" max="15" width="12.140625" bestFit="1" customWidth="1"/>
    <col min="16" max="18" width="10.5703125" customWidth="1"/>
    <col min="19" max="19" width="13.7109375" bestFit="1" customWidth="1"/>
    <col min="20" max="20" width="13.85546875" bestFit="1" customWidth="1"/>
  </cols>
  <sheetData>
    <row r="1" spans="1:18" ht="15.75" x14ac:dyDescent="0.25">
      <c r="A1" s="39" t="s">
        <v>403</v>
      </c>
      <c r="G1" s="77" t="s">
        <v>441</v>
      </c>
    </row>
    <row r="2" spans="1:18" x14ac:dyDescent="0.25">
      <c r="B2" s="1" t="s">
        <v>130</v>
      </c>
      <c r="C2" s="1" t="s">
        <v>361</v>
      </c>
      <c r="D2" s="1" t="s">
        <v>185</v>
      </c>
    </row>
    <row r="3" spans="1:18" x14ac:dyDescent="0.25">
      <c r="B3" t="s">
        <v>296</v>
      </c>
      <c r="C3" s="34" t="s">
        <v>297</v>
      </c>
      <c r="D3" s="75">
        <v>150</v>
      </c>
    </row>
    <row r="4" spans="1:18" x14ac:dyDescent="0.25">
      <c r="B4" t="s">
        <v>182</v>
      </c>
      <c r="C4" s="69" t="s">
        <v>171</v>
      </c>
      <c r="D4" s="75">
        <v>100</v>
      </c>
      <c r="K4" s="78" t="s">
        <v>191</v>
      </c>
    </row>
    <row r="5" spans="1:18" x14ac:dyDescent="0.25">
      <c r="B5" t="s">
        <v>189</v>
      </c>
      <c r="C5" s="34" t="s">
        <v>141</v>
      </c>
      <c r="D5" s="75">
        <v>0.1</v>
      </c>
    </row>
    <row r="6" spans="1:18" x14ac:dyDescent="0.25">
      <c r="C6" s="34"/>
      <c r="D6" s="74"/>
    </row>
    <row r="8" spans="1:18" x14ac:dyDescent="0.25">
      <c r="A8" s="82" t="s">
        <v>219</v>
      </c>
      <c r="B8" s="79">
        <v>1</v>
      </c>
      <c r="C8" s="79">
        <v>2</v>
      </c>
      <c r="D8" s="79">
        <v>3</v>
      </c>
      <c r="E8" s="79">
        <v>4</v>
      </c>
      <c r="F8" s="79">
        <v>5</v>
      </c>
      <c r="G8" s="80">
        <v>6</v>
      </c>
      <c r="H8" s="80">
        <v>7</v>
      </c>
      <c r="I8" s="80">
        <v>8</v>
      </c>
      <c r="J8" s="29"/>
      <c r="K8" s="42" t="s">
        <v>296</v>
      </c>
      <c r="L8" s="29"/>
      <c r="M8" s="42" t="s">
        <v>182</v>
      </c>
      <c r="N8" s="42"/>
      <c r="O8" s="42" t="s">
        <v>322</v>
      </c>
      <c r="P8" s="42"/>
      <c r="Q8" s="1" t="s">
        <v>190</v>
      </c>
      <c r="R8" s="1"/>
    </row>
    <row r="9" spans="1:18" x14ac:dyDescent="0.25">
      <c r="A9">
        <v>1</v>
      </c>
      <c r="B9" t="s">
        <v>197</v>
      </c>
      <c r="C9" t="s">
        <v>80</v>
      </c>
      <c r="D9" t="s">
        <v>81</v>
      </c>
      <c r="E9" t="s">
        <v>184</v>
      </c>
      <c r="J9" s="34" t="s">
        <v>311</v>
      </c>
      <c r="K9" s="34"/>
      <c r="L9" s="34"/>
      <c r="M9">
        <v>0</v>
      </c>
      <c r="N9" s="17" t="e">
        <f>c_phoneRA+c_inform+c_inc_meet</f>
        <v>#NAME?</v>
      </c>
      <c r="Q9" s="97" t="e">
        <f>N9</f>
        <v>#NAME?</v>
      </c>
      <c r="R9" s="17"/>
    </row>
    <row r="10" spans="1:18" x14ac:dyDescent="0.25">
      <c r="A10">
        <v>2</v>
      </c>
      <c r="B10" t="s">
        <v>197</v>
      </c>
      <c r="C10" t="s">
        <v>80</v>
      </c>
      <c r="D10" t="s">
        <v>81</v>
      </c>
      <c r="E10" t="s">
        <v>57</v>
      </c>
      <c r="J10" s="34" t="s">
        <v>312</v>
      </c>
      <c r="K10" s="34"/>
      <c r="L10" s="34"/>
      <c r="M10">
        <v>0</v>
      </c>
      <c r="N10" s="17" t="e">
        <f>c_phoneRA+c_inc_meet</f>
        <v>#NAME?</v>
      </c>
      <c r="Q10" s="98" t="e">
        <f t="shared" ref="Q10:Q16" si="0">N10</f>
        <v>#NAME?</v>
      </c>
      <c r="R10" s="17"/>
    </row>
    <row r="11" spans="1:18" x14ac:dyDescent="0.25">
      <c r="A11">
        <v>5</v>
      </c>
      <c r="B11" t="s">
        <v>197</v>
      </c>
      <c r="C11" t="s">
        <v>80</v>
      </c>
      <c r="D11" t="s">
        <v>81</v>
      </c>
      <c r="E11" t="s">
        <v>58</v>
      </c>
      <c r="F11" t="s">
        <v>181</v>
      </c>
      <c r="G11" t="s">
        <v>208</v>
      </c>
      <c r="J11" s="34" t="s">
        <v>310</v>
      </c>
      <c r="K11" s="34"/>
      <c r="L11" s="34"/>
      <c r="M11" t="s">
        <v>188</v>
      </c>
      <c r="N11" s="17" t="e">
        <f>c_inc_meet+c_siteRA+c_invite+c_rev_meet+c_allTx</f>
        <v>#NAME?</v>
      </c>
      <c r="Q11" s="98" t="e">
        <f>N11</f>
        <v>#NAME?</v>
      </c>
      <c r="R11" s="17"/>
    </row>
    <row r="12" spans="1:18" x14ac:dyDescent="0.25">
      <c r="M12">
        <v>20</v>
      </c>
      <c r="N12" s="17" t="e">
        <f t="dataTable" ref="N12:N16" dt2D="0" dtr="0" r1="D4" ca="1"/>
        <v>#NAME?</v>
      </c>
      <c r="O12">
        <f>p_pos</f>
        <v>0.1</v>
      </c>
      <c r="Q12" s="98" t="e">
        <f t="shared" si="0"/>
        <v>#NAME?</v>
      </c>
      <c r="R12" s="17"/>
    </row>
    <row r="13" spans="1:18" x14ac:dyDescent="0.25">
      <c r="M13">
        <v>100</v>
      </c>
      <c r="N13" s="17" t="e">
        <v>#NAME?</v>
      </c>
      <c r="O13">
        <f>p_pos</f>
        <v>0.1</v>
      </c>
      <c r="Q13" s="98" t="e">
        <f t="shared" si="0"/>
        <v>#NAME?</v>
      </c>
      <c r="R13" s="17"/>
    </row>
    <row r="14" spans="1:18" x14ac:dyDescent="0.25">
      <c r="M14">
        <v>500</v>
      </c>
      <c r="N14" s="17" t="e">
        <v>#NAME?</v>
      </c>
      <c r="O14">
        <f>p_pos</f>
        <v>0.1</v>
      </c>
      <c r="Q14" s="98" t="e">
        <f t="shared" si="0"/>
        <v>#NAME?</v>
      </c>
      <c r="R14" s="17"/>
    </row>
    <row r="15" spans="1:18" x14ac:dyDescent="0.25">
      <c r="M15">
        <v>27</v>
      </c>
      <c r="N15" s="17" t="e">
        <v>#NAME?</v>
      </c>
      <c r="Q15" s="98" t="e">
        <f t="shared" si="0"/>
        <v>#NAME?</v>
      </c>
      <c r="R15" s="17"/>
    </row>
    <row r="16" spans="1:18" x14ac:dyDescent="0.25">
      <c r="M16">
        <v>53</v>
      </c>
      <c r="N16" s="17" t="e">
        <v>#NAME?</v>
      </c>
      <c r="Q16" s="98" t="e">
        <f t="shared" si="0"/>
        <v>#NAME?</v>
      </c>
      <c r="R16" s="17"/>
    </row>
    <row r="17" spans="1:18" x14ac:dyDescent="0.25">
      <c r="M17" t="s">
        <v>188</v>
      </c>
      <c r="N17" s="17"/>
      <c r="P17" s="17" t="e">
        <f>c_inc_meet+c_siteRA+c_invite+c_rev_meet+c_allTx</f>
        <v>#NAME?</v>
      </c>
      <c r="Q17" s="99" t="e">
        <f>P17</f>
        <v>#NAME?</v>
      </c>
      <c r="R17" s="6"/>
    </row>
    <row r="18" spans="1:18" x14ac:dyDescent="0.25">
      <c r="M18">
        <f>outbreak_size</f>
        <v>100</v>
      </c>
      <c r="N18" s="17"/>
      <c r="O18">
        <v>0</v>
      </c>
      <c r="P18" s="6" t="e">
        <f t="dataTable" ref="P18:P20" dt2D="0" dtr="0" r1="D5" ca="1"/>
        <v>#NAME?</v>
      </c>
      <c r="Q18" s="99" t="e">
        <f t="shared" ref="Q18:Q20" si="1">P18</f>
        <v>#NAME?</v>
      </c>
      <c r="R18" s="6"/>
    </row>
    <row r="19" spans="1:18" x14ac:dyDescent="0.25">
      <c r="M19">
        <f>outbreak_size</f>
        <v>100</v>
      </c>
      <c r="N19" s="17"/>
      <c r="O19">
        <v>0.1</v>
      </c>
      <c r="P19" s="6" t="e">
        <v>#NAME?</v>
      </c>
      <c r="Q19" s="99" t="e">
        <f t="shared" si="1"/>
        <v>#NAME?</v>
      </c>
      <c r="R19" s="6"/>
    </row>
    <row r="20" spans="1:18" x14ac:dyDescent="0.25">
      <c r="M20">
        <f>outbreak_size</f>
        <v>100</v>
      </c>
      <c r="N20" s="17"/>
      <c r="O20">
        <v>0.5</v>
      </c>
      <c r="P20" s="6" t="e">
        <v>#NAME?</v>
      </c>
      <c r="Q20" s="99" t="e">
        <f t="shared" si="1"/>
        <v>#NAME?</v>
      </c>
      <c r="R20" s="6"/>
    </row>
    <row r="21" spans="1:18" x14ac:dyDescent="0.25">
      <c r="A21">
        <v>6</v>
      </c>
      <c r="B21" t="s">
        <v>197</v>
      </c>
      <c r="C21" t="s">
        <v>80</v>
      </c>
      <c r="D21" t="s">
        <v>81</v>
      </c>
      <c r="E21" t="s">
        <v>59</v>
      </c>
      <c r="F21" t="s">
        <v>181</v>
      </c>
      <c r="G21" t="s">
        <v>208</v>
      </c>
      <c r="J21" s="34" t="s">
        <v>309</v>
      </c>
      <c r="K21" s="34"/>
      <c r="L21" s="34"/>
      <c r="M21" t="s">
        <v>188</v>
      </c>
      <c r="N21" s="17" t="e">
        <f>c_inc_meet+c_siteRA+c_site_screen+c_allTx+c_rev_meet</f>
        <v>#NAME?</v>
      </c>
      <c r="P21" s="6"/>
      <c r="Q21" s="98" t="e">
        <f t="shared" ref="Q21:Q26" si="2">N21</f>
        <v>#NAME?</v>
      </c>
    </row>
    <row r="22" spans="1:18" x14ac:dyDescent="0.25">
      <c r="M22">
        <v>20</v>
      </c>
      <c r="N22" s="17" t="e">
        <f t="dataTable" ref="N22:N26" dt2D="0" dtr="0" r1="D4" ca="1"/>
        <v>#NAME?</v>
      </c>
      <c r="O22">
        <f>p_pos</f>
        <v>0.1</v>
      </c>
      <c r="P22" s="6"/>
      <c r="Q22" s="98" t="e">
        <f t="shared" si="2"/>
        <v>#NAME?</v>
      </c>
    </row>
    <row r="23" spans="1:18" x14ac:dyDescent="0.25">
      <c r="M23">
        <v>100</v>
      </c>
      <c r="N23" s="17" t="e">
        <v>#NAME?</v>
      </c>
      <c r="O23">
        <f>p_pos</f>
        <v>0.1</v>
      </c>
      <c r="P23" s="6"/>
      <c r="Q23" s="98" t="e">
        <f t="shared" si="2"/>
        <v>#NAME?</v>
      </c>
    </row>
    <row r="24" spans="1:18" x14ac:dyDescent="0.25">
      <c r="M24">
        <v>500</v>
      </c>
      <c r="N24" s="17" t="e">
        <v>#NAME?</v>
      </c>
      <c r="O24">
        <f>p_pos</f>
        <v>0.1</v>
      </c>
      <c r="P24" s="6"/>
      <c r="Q24" s="98" t="e">
        <f t="shared" si="2"/>
        <v>#NAME?</v>
      </c>
    </row>
    <row r="25" spans="1:18" x14ac:dyDescent="0.25">
      <c r="M25">
        <v>27</v>
      </c>
      <c r="N25" s="17" t="e">
        <v>#NAME?</v>
      </c>
      <c r="P25" s="6"/>
      <c r="Q25" s="98" t="e">
        <f t="shared" si="2"/>
        <v>#NAME?</v>
      </c>
    </row>
    <row r="26" spans="1:18" x14ac:dyDescent="0.25">
      <c r="M26">
        <v>53</v>
      </c>
      <c r="N26" s="17" t="e">
        <v>#NAME?</v>
      </c>
      <c r="P26" s="6"/>
      <c r="Q26" s="98" t="e">
        <f t="shared" si="2"/>
        <v>#NAME?</v>
      </c>
    </row>
    <row r="27" spans="1:18" x14ac:dyDescent="0.25">
      <c r="M27" t="s">
        <v>188</v>
      </c>
      <c r="N27" s="17"/>
      <c r="P27" s="17" t="e">
        <f>c_inc_meet+c_siteRA+c_site_screen+c_allTx+c_rev_meet</f>
        <v>#NAME?</v>
      </c>
      <c r="Q27" s="99" t="e">
        <f>P27</f>
        <v>#NAME?</v>
      </c>
    </row>
    <row r="28" spans="1:18" x14ac:dyDescent="0.25">
      <c r="M28">
        <f>outbreak_size</f>
        <v>100</v>
      </c>
      <c r="N28" s="17"/>
      <c r="O28">
        <v>0</v>
      </c>
      <c r="P28" s="6" t="e">
        <f t="dataTable" ref="P28:P30" dt2D="0" dtr="0" r1="D5" ca="1"/>
        <v>#NAME?</v>
      </c>
      <c r="Q28" s="99" t="e">
        <f t="shared" ref="Q28:Q30" si="3">P28</f>
        <v>#NAME?</v>
      </c>
    </row>
    <row r="29" spans="1:18" x14ac:dyDescent="0.25">
      <c r="M29">
        <f>outbreak_size</f>
        <v>100</v>
      </c>
      <c r="N29" s="17"/>
      <c r="O29">
        <v>0.1</v>
      </c>
      <c r="P29" s="6" t="e">
        <v>#NAME?</v>
      </c>
      <c r="Q29" s="99" t="e">
        <f t="shared" si="3"/>
        <v>#NAME?</v>
      </c>
    </row>
    <row r="30" spans="1:18" x14ac:dyDescent="0.25">
      <c r="M30">
        <f>outbreak_size</f>
        <v>100</v>
      </c>
      <c r="N30" s="17"/>
      <c r="O30">
        <v>0.5</v>
      </c>
      <c r="P30" s="6" t="e">
        <v>#NAME?</v>
      </c>
      <c r="Q30" s="99" t="e">
        <f t="shared" si="3"/>
        <v>#NAME?</v>
      </c>
    </row>
    <row r="31" spans="1:18" x14ac:dyDescent="0.25">
      <c r="A31">
        <v>7</v>
      </c>
      <c r="B31" t="s">
        <v>197</v>
      </c>
      <c r="C31" t="s">
        <v>80</v>
      </c>
      <c r="D31" t="s">
        <v>81</v>
      </c>
      <c r="E31" t="s">
        <v>59</v>
      </c>
      <c r="F31" t="s">
        <v>107</v>
      </c>
      <c r="G31" t="s">
        <v>181</v>
      </c>
      <c r="H31" t="s">
        <v>208</v>
      </c>
      <c r="J31" s="34" t="s">
        <v>308</v>
      </c>
      <c r="K31" s="34"/>
      <c r="L31" s="34"/>
      <c r="M31" t="s">
        <v>188</v>
      </c>
      <c r="N31" s="17" t="e">
        <f>c_inc_meet+c_siteRA+c_site_screen+c_allTx+c_QandA+c_rev_meet</f>
        <v>#NAME?</v>
      </c>
      <c r="P31" s="6"/>
      <c r="Q31" s="98" t="e">
        <f t="shared" ref="Q31:Q34" si="4">N31</f>
        <v>#NAME?</v>
      </c>
    </row>
    <row r="32" spans="1:18" x14ac:dyDescent="0.25">
      <c r="M32">
        <v>20</v>
      </c>
      <c r="N32" s="17" t="e">
        <f t="dataTable" ref="N32:N34" dt2D="0" dtr="0" r1="D4" ca="1"/>
        <v>#NAME?</v>
      </c>
      <c r="O32">
        <f>p_pos</f>
        <v>0.1</v>
      </c>
      <c r="P32" s="6"/>
      <c r="Q32" s="98" t="e">
        <f t="shared" si="4"/>
        <v>#NAME?</v>
      </c>
    </row>
    <row r="33" spans="1:17" x14ac:dyDescent="0.25">
      <c r="M33">
        <v>100</v>
      </c>
      <c r="N33" s="17" t="e">
        <v>#NAME?</v>
      </c>
      <c r="O33">
        <f>p_pos</f>
        <v>0.1</v>
      </c>
      <c r="P33" s="6"/>
      <c r="Q33" s="98" t="e">
        <f t="shared" si="4"/>
        <v>#NAME?</v>
      </c>
    </row>
    <row r="34" spans="1:17" x14ac:dyDescent="0.25">
      <c r="M34">
        <v>500</v>
      </c>
      <c r="N34" s="17" t="e">
        <v>#NAME?</v>
      </c>
      <c r="O34">
        <f>p_pos</f>
        <v>0.1</v>
      </c>
      <c r="P34" s="6"/>
      <c r="Q34" s="98" t="e">
        <f t="shared" si="4"/>
        <v>#NAME?</v>
      </c>
    </row>
    <row r="35" spans="1:17" x14ac:dyDescent="0.25">
      <c r="M35" t="s">
        <v>188</v>
      </c>
      <c r="N35" s="17"/>
      <c r="P35" s="17" t="e">
        <f>c_inc_meet+c_siteRA+c_site_screen+c_allTx+c_QandA+c_rev_meet</f>
        <v>#NAME?</v>
      </c>
      <c r="Q35" s="99" t="e">
        <f>P35</f>
        <v>#NAME?</v>
      </c>
    </row>
    <row r="36" spans="1:17" x14ac:dyDescent="0.25">
      <c r="M36">
        <f>outbreak_size</f>
        <v>100</v>
      </c>
      <c r="N36" s="17"/>
      <c r="O36">
        <v>0</v>
      </c>
      <c r="P36" s="6" t="e">
        <f t="dataTable" ref="P36:P38" dt2D="0" dtr="0" r1="D5" ca="1"/>
        <v>#NAME?</v>
      </c>
      <c r="Q36" s="99" t="e">
        <f t="shared" ref="Q36:Q38" si="5">P36</f>
        <v>#NAME?</v>
      </c>
    </row>
    <row r="37" spans="1:17" x14ac:dyDescent="0.25">
      <c r="M37">
        <f>outbreak_size</f>
        <v>100</v>
      </c>
      <c r="N37" s="17"/>
      <c r="O37">
        <v>0.1</v>
      </c>
      <c r="P37" s="6" t="e">
        <v>#NAME?</v>
      </c>
      <c r="Q37" s="99" t="e">
        <f t="shared" si="5"/>
        <v>#NAME?</v>
      </c>
    </row>
    <row r="38" spans="1:17" x14ac:dyDescent="0.25">
      <c r="M38">
        <f>outbreak_size</f>
        <v>100</v>
      </c>
      <c r="N38" s="17"/>
      <c r="O38">
        <v>0.5</v>
      </c>
      <c r="P38" s="6" t="e">
        <v>#NAME?</v>
      </c>
      <c r="Q38" s="99" t="e">
        <f t="shared" si="5"/>
        <v>#NAME?</v>
      </c>
    </row>
    <row r="39" spans="1:17" x14ac:dyDescent="0.25">
      <c r="A39">
        <v>8</v>
      </c>
      <c r="B39" t="s">
        <v>197</v>
      </c>
      <c r="C39" t="s">
        <v>80</v>
      </c>
      <c r="D39" t="s">
        <v>81</v>
      </c>
      <c r="E39" t="s">
        <v>59</v>
      </c>
      <c r="F39" t="s">
        <v>107</v>
      </c>
      <c r="G39" t="s">
        <v>108</v>
      </c>
      <c r="H39" t="s">
        <v>181</v>
      </c>
      <c r="I39" t="s">
        <v>208</v>
      </c>
      <c r="J39" s="34" t="s">
        <v>307</v>
      </c>
      <c r="K39" s="34"/>
      <c r="L39" s="34"/>
      <c r="M39" t="s">
        <v>188</v>
      </c>
      <c r="N39" s="17" t="e">
        <f>c_inc_meet+c_siteRA+c_site_screen+c_allTx+c_QandA+c_enquire+c_rev_meet</f>
        <v>#NAME?</v>
      </c>
      <c r="P39" s="6"/>
      <c r="Q39" s="98" t="e">
        <f t="shared" ref="Q39:Q42" si="6">N39</f>
        <v>#NAME?</v>
      </c>
    </row>
    <row r="40" spans="1:17" x14ac:dyDescent="0.25">
      <c r="M40">
        <v>20</v>
      </c>
      <c r="N40" s="17" t="e">
        <f t="dataTable" ref="N40:N42" dt2D="0" dtr="0" r1="D4" ca="1"/>
        <v>#NAME?</v>
      </c>
      <c r="O40">
        <f>p_pos</f>
        <v>0.1</v>
      </c>
      <c r="P40" s="6"/>
      <c r="Q40" s="98" t="e">
        <f t="shared" si="6"/>
        <v>#NAME?</v>
      </c>
    </row>
    <row r="41" spans="1:17" x14ac:dyDescent="0.25">
      <c r="M41">
        <v>100</v>
      </c>
      <c r="N41" s="17" t="e">
        <v>#NAME?</v>
      </c>
      <c r="O41">
        <f>p_pos</f>
        <v>0.1</v>
      </c>
      <c r="P41" s="6"/>
      <c r="Q41" s="98" t="e">
        <f t="shared" si="6"/>
        <v>#NAME?</v>
      </c>
    </row>
    <row r="42" spans="1:17" x14ac:dyDescent="0.25">
      <c r="M42">
        <v>500</v>
      </c>
      <c r="N42" s="17" t="e">
        <v>#NAME?</v>
      </c>
      <c r="O42">
        <f>p_pos</f>
        <v>0.1</v>
      </c>
      <c r="P42" s="6"/>
      <c r="Q42" s="98" t="e">
        <f t="shared" si="6"/>
        <v>#NAME?</v>
      </c>
    </row>
    <row r="43" spans="1:17" x14ac:dyDescent="0.25">
      <c r="M43" t="s">
        <v>188</v>
      </c>
      <c r="P43" s="17" t="e">
        <f>c_inc_meet+c_siteRA+c_site_screen+c_allTx+c_QandA+c_enquire+c_rev_meet</f>
        <v>#NAME?</v>
      </c>
      <c r="Q43" s="99" t="e">
        <f>P43</f>
        <v>#NAME?</v>
      </c>
    </row>
    <row r="44" spans="1:17" x14ac:dyDescent="0.25">
      <c r="M44">
        <f>outbreak_size</f>
        <v>100</v>
      </c>
      <c r="O44">
        <v>0</v>
      </c>
      <c r="P44" s="6" t="e">
        <f t="dataTable" ref="P44:P46" dt2D="0" dtr="0" r1="D5" ca="1"/>
        <v>#NAME?</v>
      </c>
      <c r="Q44" s="99" t="e">
        <f t="shared" ref="Q44:Q46" si="7">P44</f>
        <v>#NAME?</v>
      </c>
    </row>
    <row r="45" spans="1:17" x14ac:dyDescent="0.25">
      <c r="M45">
        <f>outbreak_size</f>
        <v>100</v>
      </c>
      <c r="O45">
        <v>0.1</v>
      </c>
      <c r="P45" s="6" t="e">
        <v>#NAME?</v>
      </c>
      <c r="Q45" s="99" t="e">
        <f t="shared" si="7"/>
        <v>#NAME?</v>
      </c>
    </row>
    <row r="46" spans="1:17" x14ac:dyDescent="0.25">
      <c r="M46">
        <f>outbreak_size</f>
        <v>100</v>
      </c>
      <c r="O46">
        <v>0.5</v>
      </c>
      <c r="P46" s="6" t="e">
        <v>#NAME?</v>
      </c>
      <c r="Q46" s="99" t="e">
        <f t="shared" si="7"/>
        <v>#NAME?</v>
      </c>
    </row>
    <row r="47" spans="1:17" x14ac:dyDescent="0.25">
      <c r="A47">
        <v>9</v>
      </c>
      <c r="B47" t="s">
        <v>197</v>
      </c>
      <c r="C47" t="s">
        <v>80</v>
      </c>
      <c r="D47" t="s">
        <v>81</v>
      </c>
      <c r="E47" t="s">
        <v>58</v>
      </c>
      <c r="F47" t="s">
        <v>181</v>
      </c>
      <c r="G47" t="s">
        <v>208</v>
      </c>
      <c r="J47" s="34" t="s">
        <v>310</v>
      </c>
      <c r="K47" s="34"/>
      <c r="L47" s="34"/>
      <c r="M47" t="s">
        <v>188</v>
      </c>
      <c r="N47" s="17" t="e">
        <f>c_inc_meet+c_phoneRA+c_invite+c_rev_meet+c_allTx</f>
        <v>#NAME?</v>
      </c>
      <c r="Q47" s="98" t="e">
        <f>N47</f>
        <v>#NAME?</v>
      </c>
    </row>
    <row r="48" spans="1:17" x14ac:dyDescent="0.25">
      <c r="M48">
        <v>20</v>
      </c>
      <c r="N48" s="17" t="e">
        <f t="dataTable" ref="N48:N52" dt2D="0" dtr="0" r1="D4" ca="1"/>
        <v>#NAME?</v>
      </c>
      <c r="O48">
        <f>p_pos</f>
        <v>0.1</v>
      </c>
      <c r="Q48" s="98" t="e">
        <f t="shared" ref="Q48:Q52" si="8">N48</f>
        <v>#NAME?</v>
      </c>
    </row>
    <row r="49" spans="1:17" x14ac:dyDescent="0.25">
      <c r="M49">
        <v>100</v>
      </c>
      <c r="N49" s="17" t="e">
        <v>#NAME?</v>
      </c>
      <c r="O49">
        <f>p_pos</f>
        <v>0.1</v>
      </c>
      <c r="P49" s="17"/>
      <c r="Q49" s="98" t="e">
        <f t="shared" si="8"/>
        <v>#NAME?</v>
      </c>
    </row>
    <row r="50" spans="1:17" x14ac:dyDescent="0.25">
      <c r="M50">
        <v>500</v>
      </c>
      <c r="N50" s="17" t="e">
        <v>#NAME?</v>
      </c>
      <c r="O50">
        <f>p_pos</f>
        <v>0.1</v>
      </c>
      <c r="P50" s="17"/>
      <c r="Q50" s="98" t="e">
        <f t="shared" si="8"/>
        <v>#NAME?</v>
      </c>
    </row>
    <row r="51" spans="1:17" x14ac:dyDescent="0.25">
      <c r="M51">
        <v>27</v>
      </c>
      <c r="N51" s="17" t="e">
        <v>#NAME?</v>
      </c>
      <c r="O51">
        <f>p_pos</f>
        <v>0.1</v>
      </c>
      <c r="P51" s="17"/>
      <c r="Q51" s="98" t="e">
        <f t="shared" si="8"/>
        <v>#NAME?</v>
      </c>
    </row>
    <row r="52" spans="1:17" x14ac:dyDescent="0.25">
      <c r="M52">
        <v>53</v>
      </c>
      <c r="N52" s="17" t="e">
        <v>#NAME?</v>
      </c>
      <c r="O52">
        <f>p_pos</f>
        <v>0.1</v>
      </c>
      <c r="P52" s="17"/>
      <c r="Q52" s="98" t="e">
        <f t="shared" si="8"/>
        <v>#NAME?</v>
      </c>
    </row>
    <row r="53" spans="1:17" x14ac:dyDescent="0.25">
      <c r="M53" t="s">
        <v>188</v>
      </c>
      <c r="N53" s="17"/>
      <c r="P53" s="17" t="e">
        <f>c_inc_meet+c_phoneRA+c_invite+c_rev_meet+c_allTx</f>
        <v>#NAME?</v>
      </c>
      <c r="Q53" s="98" t="e">
        <f>P53</f>
        <v>#NAME?</v>
      </c>
    </row>
    <row r="54" spans="1:17" x14ac:dyDescent="0.25">
      <c r="M54">
        <f>outbreak_size</f>
        <v>100</v>
      </c>
      <c r="N54" s="17"/>
      <c r="O54">
        <v>0</v>
      </c>
      <c r="P54" s="17" t="e">
        <f t="dataTable" ref="P54:P56" dt2D="0" dtr="0" r1="D5" ca="1"/>
        <v>#NAME?</v>
      </c>
      <c r="Q54" s="98" t="e">
        <f t="shared" ref="Q54:Q56" si="9">P54</f>
        <v>#NAME?</v>
      </c>
    </row>
    <row r="55" spans="1:17" x14ac:dyDescent="0.25">
      <c r="M55">
        <f>outbreak_size</f>
        <v>100</v>
      </c>
      <c r="N55" s="17"/>
      <c r="O55">
        <v>0.1</v>
      </c>
      <c r="P55" s="17" t="e">
        <v>#NAME?</v>
      </c>
      <c r="Q55" s="98" t="e">
        <f t="shared" si="9"/>
        <v>#NAME?</v>
      </c>
    </row>
    <row r="56" spans="1:17" x14ac:dyDescent="0.25">
      <c r="M56">
        <f>outbreak_size</f>
        <v>100</v>
      </c>
      <c r="N56" s="17"/>
      <c r="O56">
        <v>0.5</v>
      </c>
      <c r="P56" s="17" t="e">
        <v>#NAME?</v>
      </c>
      <c r="Q56" s="98" t="e">
        <f t="shared" si="9"/>
        <v>#NAME?</v>
      </c>
    </row>
    <row r="57" spans="1:17" x14ac:dyDescent="0.25">
      <c r="A57">
        <v>10</v>
      </c>
      <c r="B57" t="s">
        <v>197</v>
      </c>
      <c r="C57" t="s">
        <v>80</v>
      </c>
      <c r="D57" t="s">
        <v>81</v>
      </c>
      <c r="E57" t="s">
        <v>59</v>
      </c>
      <c r="F57" t="s">
        <v>181</v>
      </c>
      <c r="G57" t="s">
        <v>208</v>
      </c>
      <c r="J57" s="34" t="s">
        <v>309</v>
      </c>
      <c r="K57" s="34"/>
      <c r="L57" s="34"/>
      <c r="M57" t="s">
        <v>188</v>
      </c>
      <c r="N57" s="17" t="e">
        <f>c_inc_meet+c_phoneRA+c_site_screen+c_allTx+c_rev_meet</f>
        <v>#NAME?</v>
      </c>
      <c r="P57" s="17"/>
      <c r="Q57" s="98" t="e">
        <f>N57</f>
        <v>#NAME?</v>
      </c>
    </row>
    <row r="58" spans="1:17" x14ac:dyDescent="0.25">
      <c r="M58">
        <v>20</v>
      </c>
      <c r="N58" s="17" t="e">
        <f t="dataTable" ref="N58:N62" dt2D="0" dtr="0" r1="D4" ca="1"/>
        <v>#NAME?</v>
      </c>
      <c r="O58">
        <f>p_pos</f>
        <v>0.1</v>
      </c>
      <c r="P58" s="17"/>
      <c r="Q58" s="98" t="e">
        <f t="shared" ref="Q58:Q62" si="10">N58</f>
        <v>#NAME?</v>
      </c>
    </row>
    <row r="59" spans="1:17" x14ac:dyDescent="0.25">
      <c r="M59">
        <v>100</v>
      </c>
      <c r="N59" s="17" t="e">
        <v>#NAME?</v>
      </c>
      <c r="O59">
        <f>p_pos</f>
        <v>0.1</v>
      </c>
      <c r="P59" s="17"/>
      <c r="Q59" s="98" t="e">
        <f t="shared" si="10"/>
        <v>#NAME?</v>
      </c>
    </row>
    <row r="60" spans="1:17" x14ac:dyDescent="0.25">
      <c r="M60">
        <v>500</v>
      </c>
      <c r="N60" s="17" t="e">
        <v>#NAME?</v>
      </c>
      <c r="O60">
        <f>p_pos</f>
        <v>0.1</v>
      </c>
      <c r="P60" s="17"/>
      <c r="Q60" s="98" t="e">
        <f t="shared" si="10"/>
        <v>#NAME?</v>
      </c>
    </row>
    <row r="61" spans="1:17" x14ac:dyDescent="0.25">
      <c r="M61">
        <v>27</v>
      </c>
      <c r="N61" s="17" t="e">
        <v>#NAME?</v>
      </c>
      <c r="O61">
        <f>p_pos</f>
        <v>0.1</v>
      </c>
      <c r="P61" s="17"/>
      <c r="Q61" s="98" t="e">
        <f t="shared" si="10"/>
        <v>#NAME?</v>
      </c>
    </row>
    <row r="62" spans="1:17" x14ac:dyDescent="0.25">
      <c r="M62">
        <v>53</v>
      </c>
      <c r="N62" s="17" t="e">
        <v>#NAME?</v>
      </c>
      <c r="O62">
        <f>p_pos</f>
        <v>0.1</v>
      </c>
      <c r="P62" s="17"/>
      <c r="Q62" s="98" t="e">
        <f t="shared" si="10"/>
        <v>#NAME?</v>
      </c>
    </row>
    <row r="63" spans="1:17" x14ac:dyDescent="0.25">
      <c r="M63" t="s">
        <v>188</v>
      </c>
      <c r="N63" s="17"/>
      <c r="P63" s="17" t="e">
        <f>c_inc_meet+c_phoneRA+c_site_screen+c_allTx+c_rev_meet</f>
        <v>#NAME?</v>
      </c>
      <c r="Q63" s="98" t="e">
        <f>P63</f>
        <v>#NAME?</v>
      </c>
    </row>
    <row r="64" spans="1:17" x14ac:dyDescent="0.25">
      <c r="M64">
        <f>outbreak_size</f>
        <v>100</v>
      </c>
      <c r="N64" s="17"/>
      <c r="O64">
        <v>0</v>
      </c>
      <c r="P64" s="17" t="e">
        <f t="dataTable" ref="P64:P66" dt2D="0" dtr="0" r1="D5" ca="1"/>
        <v>#NAME?</v>
      </c>
      <c r="Q64" s="98" t="e">
        <f t="shared" ref="Q64:Q66" si="11">P64</f>
        <v>#NAME?</v>
      </c>
    </row>
    <row r="65" spans="1:17" x14ac:dyDescent="0.25">
      <c r="M65">
        <f>outbreak_size</f>
        <v>100</v>
      </c>
      <c r="N65" s="17"/>
      <c r="O65">
        <v>0.1</v>
      </c>
      <c r="P65" s="17" t="e">
        <v>#NAME?</v>
      </c>
      <c r="Q65" s="98" t="e">
        <f t="shared" si="11"/>
        <v>#NAME?</v>
      </c>
    </row>
    <row r="66" spans="1:17" x14ac:dyDescent="0.25">
      <c r="M66">
        <f>outbreak_size</f>
        <v>100</v>
      </c>
      <c r="N66" s="17"/>
      <c r="O66">
        <v>0.5</v>
      </c>
      <c r="P66" s="17" t="e">
        <v>#NAME?</v>
      </c>
      <c r="Q66" s="98" t="e">
        <f t="shared" si="11"/>
        <v>#NAME?</v>
      </c>
    </row>
    <row r="67" spans="1:17" x14ac:dyDescent="0.25">
      <c r="A67">
        <v>11</v>
      </c>
      <c r="B67" t="s">
        <v>197</v>
      </c>
      <c r="C67" t="s">
        <v>80</v>
      </c>
      <c r="D67" t="s">
        <v>81</v>
      </c>
      <c r="E67" t="s">
        <v>59</v>
      </c>
      <c r="F67" t="s">
        <v>107</v>
      </c>
      <c r="G67" t="s">
        <v>181</v>
      </c>
      <c r="H67" t="s">
        <v>208</v>
      </c>
      <c r="J67" s="34" t="s">
        <v>308</v>
      </c>
      <c r="K67" s="34"/>
      <c r="L67" s="34"/>
      <c r="M67" t="s">
        <v>188</v>
      </c>
      <c r="N67" s="17" t="e">
        <f>c_inc_meet+c_phoneRA+c_site_screen+c_allTx+c_QandA+c_rev_meet</f>
        <v>#NAME?</v>
      </c>
      <c r="P67" s="17"/>
      <c r="Q67" s="98" t="e">
        <f>N67</f>
        <v>#NAME?</v>
      </c>
    </row>
    <row r="68" spans="1:17" x14ac:dyDescent="0.25">
      <c r="M68">
        <v>20</v>
      </c>
      <c r="N68" s="17" t="e">
        <f t="dataTable" ref="N68:N70" dt2D="0" dtr="0" r1="D4" ca="1"/>
        <v>#NAME?</v>
      </c>
      <c r="O68">
        <f>p_pos</f>
        <v>0.1</v>
      </c>
      <c r="P68" s="17"/>
      <c r="Q68" s="98" t="e">
        <f t="shared" ref="Q68:Q70" si="12">N68</f>
        <v>#NAME?</v>
      </c>
    </row>
    <row r="69" spans="1:17" x14ac:dyDescent="0.25">
      <c r="M69">
        <v>100</v>
      </c>
      <c r="N69" s="17" t="e">
        <v>#NAME?</v>
      </c>
      <c r="O69">
        <f>p_pos</f>
        <v>0.1</v>
      </c>
      <c r="P69" s="17"/>
      <c r="Q69" s="98" t="e">
        <f t="shared" si="12"/>
        <v>#NAME?</v>
      </c>
    </row>
    <row r="70" spans="1:17" x14ac:dyDescent="0.25">
      <c r="M70">
        <v>500</v>
      </c>
      <c r="N70" s="17" t="e">
        <v>#NAME?</v>
      </c>
      <c r="O70">
        <f>p_pos</f>
        <v>0.1</v>
      </c>
      <c r="P70" s="17"/>
      <c r="Q70" s="98" t="e">
        <f t="shared" si="12"/>
        <v>#NAME?</v>
      </c>
    </row>
    <row r="71" spans="1:17" x14ac:dyDescent="0.25">
      <c r="M71" t="s">
        <v>188</v>
      </c>
      <c r="N71" s="17"/>
      <c r="P71" s="17" t="e">
        <f>c_inc_meet+c_phoneRA+c_site_screen+c_allTx+c_QandA+c_rev_meet</f>
        <v>#NAME?</v>
      </c>
      <c r="Q71" s="98" t="e">
        <f>P71</f>
        <v>#NAME?</v>
      </c>
    </row>
    <row r="72" spans="1:17" x14ac:dyDescent="0.25">
      <c r="M72">
        <f>outbreak_size</f>
        <v>100</v>
      </c>
      <c r="N72" s="17"/>
      <c r="O72">
        <v>0</v>
      </c>
      <c r="P72" s="17" t="e">
        <f t="dataTable" ref="P72:P74" dt2D="0" dtr="0" r1="D5" ca="1"/>
        <v>#NAME?</v>
      </c>
      <c r="Q72" s="98" t="e">
        <f t="shared" ref="Q72:Q74" si="13">P72</f>
        <v>#NAME?</v>
      </c>
    </row>
    <row r="73" spans="1:17" x14ac:dyDescent="0.25">
      <c r="M73">
        <f>outbreak_size</f>
        <v>100</v>
      </c>
      <c r="N73" s="17"/>
      <c r="O73">
        <v>0.1</v>
      </c>
      <c r="P73" s="17" t="e">
        <v>#NAME?</v>
      </c>
      <c r="Q73" s="98" t="e">
        <f t="shared" si="13"/>
        <v>#NAME?</v>
      </c>
    </row>
    <row r="74" spans="1:17" x14ac:dyDescent="0.25">
      <c r="M74">
        <f>outbreak_size</f>
        <v>100</v>
      </c>
      <c r="N74" s="17"/>
      <c r="O74">
        <v>0.5</v>
      </c>
      <c r="P74" s="17" t="e">
        <v>#NAME?</v>
      </c>
      <c r="Q74" s="98" t="e">
        <f t="shared" si="13"/>
        <v>#NAME?</v>
      </c>
    </row>
    <row r="75" spans="1:17" x14ac:dyDescent="0.25">
      <c r="A75">
        <v>12</v>
      </c>
      <c r="B75" t="s">
        <v>197</v>
      </c>
      <c r="C75" t="s">
        <v>80</v>
      </c>
      <c r="D75" t="s">
        <v>81</v>
      </c>
      <c r="E75" t="s">
        <v>59</v>
      </c>
      <c r="F75" t="s">
        <v>107</v>
      </c>
      <c r="G75" t="s">
        <v>108</v>
      </c>
      <c r="H75" t="s">
        <v>181</v>
      </c>
      <c r="I75" t="s">
        <v>208</v>
      </c>
      <c r="J75" s="34" t="s">
        <v>313</v>
      </c>
      <c r="K75" s="34"/>
      <c r="L75" s="34"/>
      <c r="M75" t="s">
        <v>188</v>
      </c>
      <c r="N75" s="17" t="e">
        <f>c_inc_meet+c_phoneRA+c_site_screen+c_allTx+c_QandA+c_enquire+c_rev_meet</f>
        <v>#NAME?</v>
      </c>
      <c r="P75" s="17"/>
      <c r="Q75" s="98" t="e">
        <f>N75</f>
        <v>#NAME?</v>
      </c>
    </row>
    <row r="76" spans="1:17" x14ac:dyDescent="0.25">
      <c r="M76">
        <v>20</v>
      </c>
      <c r="N76" s="17" t="e">
        <f t="dataTable" ref="N76:N80" dt2D="0" dtr="0" r1="D4" ca="1"/>
        <v>#NAME?</v>
      </c>
      <c r="O76">
        <f>p_pos</f>
        <v>0.1</v>
      </c>
      <c r="P76" s="17"/>
      <c r="Q76" s="98" t="e">
        <f t="shared" ref="Q76:Q80" si="14">N76</f>
        <v>#NAME?</v>
      </c>
    </row>
    <row r="77" spans="1:17" x14ac:dyDescent="0.25">
      <c r="M77">
        <v>100</v>
      </c>
      <c r="N77" s="17" t="e">
        <v>#NAME?</v>
      </c>
      <c r="O77">
        <f>p_pos</f>
        <v>0.1</v>
      </c>
      <c r="P77" s="17"/>
      <c r="Q77" s="98" t="e">
        <f t="shared" si="14"/>
        <v>#NAME?</v>
      </c>
    </row>
    <row r="78" spans="1:17" x14ac:dyDescent="0.25">
      <c r="M78">
        <v>500</v>
      </c>
      <c r="N78" s="17" t="e">
        <v>#NAME?</v>
      </c>
      <c r="O78">
        <f>p_pos</f>
        <v>0.1</v>
      </c>
      <c r="P78" s="17"/>
      <c r="Q78" s="98" t="e">
        <f t="shared" si="14"/>
        <v>#NAME?</v>
      </c>
    </row>
    <row r="79" spans="1:17" x14ac:dyDescent="0.25">
      <c r="M79">
        <v>27</v>
      </c>
      <c r="N79" s="17" t="e">
        <v>#NAME?</v>
      </c>
      <c r="O79">
        <f>p_pos</f>
        <v>0.1</v>
      </c>
      <c r="P79" s="17"/>
      <c r="Q79" s="98" t="e">
        <f t="shared" si="14"/>
        <v>#NAME?</v>
      </c>
    </row>
    <row r="80" spans="1:17" x14ac:dyDescent="0.25">
      <c r="M80">
        <v>53</v>
      </c>
      <c r="N80" s="17" t="e">
        <v>#NAME?</v>
      </c>
      <c r="O80">
        <f>p_pos</f>
        <v>0.1</v>
      </c>
      <c r="P80" s="17"/>
      <c r="Q80" s="98" t="e">
        <f t="shared" si="14"/>
        <v>#NAME?</v>
      </c>
    </row>
    <row r="81" spans="13:17" x14ac:dyDescent="0.25">
      <c r="M81" t="s">
        <v>188</v>
      </c>
      <c r="N81" s="17"/>
      <c r="P81" s="17" t="e">
        <f>c_inc_meet+c_phoneRA+c_site_screen+c_allTx+c_QandA+c_enquire+c_rev_meet</f>
        <v>#NAME?</v>
      </c>
      <c r="Q81" s="98" t="e">
        <f>P81</f>
        <v>#NAME?</v>
      </c>
    </row>
    <row r="82" spans="13:17" x14ac:dyDescent="0.25">
      <c r="M82">
        <f>outbreak_size</f>
        <v>100</v>
      </c>
      <c r="O82">
        <v>0</v>
      </c>
      <c r="P82" s="17" t="e">
        <f t="dataTable" ref="P82:P84" dt2D="0" dtr="0" r1="D5"/>
        <v>#NAME?</v>
      </c>
      <c r="Q82" s="98" t="e">
        <f t="shared" ref="Q82:Q84" si="15">P82</f>
        <v>#NAME?</v>
      </c>
    </row>
    <row r="83" spans="13:17" x14ac:dyDescent="0.25">
      <c r="M83">
        <f>outbreak_size</f>
        <v>100</v>
      </c>
      <c r="O83">
        <v>0.1</v>
      </c>
      <c r="P83" s="17" t="e">
        <v>#NAME?</v>
      </c>
      <c r="Q83" s="98" t="e">
        <f t="shared" si="15"/>
        <v>#NAME?</v>
      </c>
    </row>
    <row r="84" spans="13:17" x14ac:dyDescent="0.25">
      <c r="M84">
        <f>outbreak_size</f>
        <v>100</v>
      </c>
      <c r="O84">
        <v>0.5</v>
      </c>
      <c r="P84" s="17" t="e">
        <v>#NAME?</v>
      </c>
      <c r="Q84" s="98" t="e">
        <f t="shared" si="15"/>
        <v>#NAME?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07763-ECB9-4A2A-B420-9839E1634D0F}">
  <sheetPr codeName="Sheet6"/>
  <dimension ref="A1:S105"/>
  <sheetViews>
    <sheetView topLeftCell="A10" zoomScale="85" zoomScaleNormal="85" workbookViewId="0">
      <selection activeCell="AA98" sqref="AA98"/>
    </sheetView>
  </sheetViews>
  <sheetFormatPr defaultRowHeight="15" x14ac:dyDescent="0.25"/>
  <cols>
    <col min="1" max="1" width="5.7109375" customWidth="1"/>
    <col min="2" max="2" width="4.140625" customWidth="1"/>
    <col min="3" max="3" width="5" bestFit="1" customWidth="1"/>
    <col min="4" max="4" width="20.7109375" customWidth="1"/>
    <col min="5" max="5" width="11.140625" customWidth="1"/>
    <col min="6" max="6" width="13.7109375" bestFit="1" customWidth="1"/>
    <col min="7" max="7" width="9.140625" bestFit="1" customWidth="1"/>
    <col min="8" max="8" width="12" bestFit="1" customWidth="1"/>
    <col min="9" max="9" width="16.28515625" bestFit="1" customWidth="1"/>
    <col min="10" max="10" width="15.7109375" bestFit="1" customWidth="1"/>
    <col min="11" max="11" width="11.140625" bestFit="1" customWidth="1"/>
    <col min="12" max="12" width="5" customWidth="1"/>
    <col min="14" max="14" width="5.7109375" customWidth="1"/>
    <col min="16" max="16" width="10.140625" bestFit="1" customWidth="1"/>
    <col min="17" max="17" width="11.140625" bestFit="1" customWidth="1"/>
    <col min="18" max="18" width="10.42578125" customWidth="1"/>
    <col min="20" max="20" width="11.5703125" bestFit="1" customWidth="1"/>
    <col min="21" max="21" width="16.28515625" bestFit="1" customWidth="1"/>
    <col min="22" max="22" width="15.7109375" bestFit="1" customWidth="1"/>
    <col min="23" max="23" width="10.140625" bestFit="1" customWidth="1"/>
  </cols>
  <sheetData>
    <row r="1" spans="1:19" x14ac:dyDescent="0.25">
      <c r="A1" s="1" t="s">
        <v>221</v>
      </c>
      <c r="E1" s="77" t="s">
        <v>406</v>
      </c>
    </row>
    <row r="3" spans="1:19" x14ac:dyDescent="0.25">
      <c r="C3" s="1" t="s">
        <v>315</v>
      </c>
      <c r="D3" s="1" t="s">
        <v>216</v>
      </c>
      <c r="E3" s="1" t="s">
        <v>217</v>
      </c>
      <c r="F3" s="1" t="s">
        <v>331</v>
      </c>
      <c r="G3" s="1" t="s">
        <v>76</v>
      </c>
      <c r="H3" s="1" t="s">
        <v>332</v>
      </c>
      <c r="I3" s="1" t="s">
        <v>333</v>
      </c>
      <c r="J3" s="1" t="s">
        <v>334</v>
      </c>
      <c r="K3" s="106" t="s">
        <v>220</v>
      </c>
      <c r="N3" t="s">
        <v>330</v>
      </c>
    </row>
    <row r="4" spans="1:19" x14ac:dyDescent="0.25">
      <c r="C4">
        <v>2013</v>
      </c>
      <c r="D4" t="s">
        <v>343</v>
      </c>
      <c r="E4" t="s">
        <v>327</v>
      </c>
      <c r="F4" t="s">
        <v>328</v>
      </c>
      <c r="G4">
        <v>0.4</v>
      </c>
      <c r="H4">
        <v>56.75</v>
      </c>
      <c r="I4">
        <v>56.25</v>
      </c>
      <c r="J4">
        <v>4</v>
      </c>
      <c r="K4" s="98">
        <f>PATH_INVITE_BIRM(H4,I4,J4)*G4</f>
        <v>3505.5440000000003</v>
      </c>
    </row>
    <row r="5" spans="1:19" x14ac:dyDescent="0.25">
      <c r="C5">
        <v>2013</v>
      </c>
      <c r="D5" t="s">
        <v>214</v>
      </c>
      <c r="E5" t="s">
        <v>327</v>
      </c>
      <c r="F5" t="s">
        <v>328</v>
      </c>
      <c r="G5">
        <v>1.6</v>
      </c>
      <c r="H5">
        <v>36.5</v>
      </c>
      <c r="I5">
        <v>32.56</v>
      </c>
      <c r="J5">
        <v>0.69</v>
      </c>
      <c r="K5" s="98">
        <f t="shared" ref="K5:K9" si="0">PATH_INVITE_BIRM(H5,I5,J5)*G5</f>
        <v>8214.4215999999997</v>
      </c>
    </row>
    <row r="6" spans="1:19" x14ac:dyDescent="0.25">
      <c r="C6">
        <v>2013</v>
      </c>
      <c r="D6" t="s">
        <v>320</v>
      </c>
      <c r="E6" t="s">
        <v>327</v>
      </c>
      <c r="F6" t="s">
        <v>328</v>
      </c>
      <c r="G6">
        <v>0.6</v>
      </c>
      <c r="H6">
        <v>14.67</v>
      </c>
      <c r="I6">
        <v>11.67</v>
      </c>
      <c r="J6">
        <v>0.67</v>
      </c>
      <c r="K6" s="98">
        <f t="shared" si="0"/>
        <v>1254.3826799999999</v>
      </c>
    </row>
    <row r="7" spans="1:19" x14ac:dyDescent="0.25">
      <c r="C7">
        <v>2013</v>
      </c>
      <c r="D7" t="s">
        <v>319</v>
      </c>
      <c r="E7" t="s">
        <v>327</v>
      </c>
      <c r="F7" t="s">
        <v>328</v>
      </c>
      <c r="G7">
        <v>0.3</v>
      </c>
      <c r="H7">
        <v>10</v>
      </c>
      <c r="I7">
        <v>8.67</v>
      </c>
      <c r="J7">
        <v>0.33</v>
      </c>
      <c r="K7" s="98">
        <f t="shared" si="0"/>
        <v>488.11337999999995</v>
      </c>
      <c r="P7" s="1" t="s">
        <v>434</v>
      </c>
      <c r="Q7" s="1" t="s">
        <v>435</v>
      </c>
      <c r="R7" s="1" t="s">
        <v>433</v>
      </c>
      <c r="S7" s="1"/>
    </row>
    <row r="8" spans="1:19" x14ac:dyDescent="0.25">
      <c r="C8">
        <v>2013</v>
      </c>
      <c r="D8" t="s">
        <v>187</v>
      </c>
      <c r="E8" t="s">
        <v>327</v>
      </c>
      <c r="F8" t="s">
        <v>328</v>
      </c>
      <c r="G8">
        <v>0.1</v>
      </c>
      <c r="H8">
        <v>8</v>
      </c>
      <c r="I8">
        <v>8</v>
      </c>
      <c r="J8">
        <v>2</v>
      </c>
      <c r="K8" s="98">
        <f t="shared" si="0"/>
        <v>162.42536000000001</v>
      </c>
      <c r="N8" s="1"/>
      <c r="O8" t="s">
        <v>426</v>
      </c>
      <c r="P8" s="17">
        <f>K4</f>
        <v>3505.5440000000003</v>
      </c>
      <c r="Q8" s="17">
        <f>K10</f>
        <v>15099.798960000002</v>
      </c>
      <c r="R8" s="17">
        <f>K16</f>
        <v>233.71440575999998</v>
      </c>
      <c r="S8" s="17"/>
    </row>
    <row r="9" spans="1:19" x14ac:dyDescent="0.25">
      <c r="C9">
        <v>2013</v>
      </c>
      <c r="E9" t="s">
        <v>327</v>
      </c>
      <c r="F9" t="s">
        <v>328</v>
      </c>
      <c r="G9">
        <v>3</v>
      </c>
      <c r="H9">
        <v>31.23</v>
      </c>
      <c r="I9">
        <v>28.33</v>
      </c>
      <c r="J9">
        <v>1.1299999999999999</v>
      </c>
      <c r="K9" s="98">
        <f t="shared" si="0"/>
        <v>13622.666399999998</v>
      </c>
      <c r="N9" s="1"/>
      <c r="O9" t="s">
        <v>427</v>
      </c>
      <c r="P9" s="17">
        <f>K5</f>
        <v>8214.4215999999997</v>
      </c>
      <c r="Q9" s="17">
        <f>K11</f>
        <v>43286.270400000001</v>
      </c>
      <c r="R9" s="17">
        <f t="shared" ref="R9:R12" si="1">K17</f>
        <v>450.95554944000003</v>
      </c>
      <c r="S9" s="17"/>
    </row>
    <row r="10" spans="1:19" x14ac:dyDescent="0.25">
      <c r="C10">
        <v>2013</v>
      </c>
      <c r="D10" t="s">
        <v>343</v>
      </c>
      <c r="E10" t="s">
        <v>327</v>
      </c>
      <c r="F10" t="s">
        <v>329</v>
      </c>
      <c r="G10">
        <v>3.6</v>
      </c>
      <c r="H10">
        <v>56.75</v>
      </c>
      <c r="I10">
        <v>56.25</v>
      </c>
      <c r="J10">
        <v>4</v>
      </c>
      <c r="K10" s="98">
        <f>PATH_SITE_BIRM(H10,I10,J10)*G10</f>
        <v>15099.798960000002</v>
      </c>
      <c r="N10" s="1"/>
      <c r="O10" t="s">
        <v>428</v>
      </c>
      <c r="P10" s="17">
        <f>K6</f>
        <v>1254.3826799999999</v>
      </c>
      <c r="Q10" s="17">
        <f>K12</f>
        <v>11065.24908</v>
      </c>
      <c r="R10" s="17">
        <f t="shared" si="1"/>
        <v>60.415688678399995</v>
      </c>
    </row>
    <row r="11" spans="1:19" x14ac:dyDescent="0.25">
      <c r="C11">
        <v>2013</v>
      </c>
      <c r="D11" t="s">
        <v>214</v>
      </c>
      <c r="E11" t="s">
        <v>327</v>
      </c>
      <c r="F11" t="s">
        <v>329</v>
      </c>
      <c r="G11">
        <v>14.4</v>
      </c>
      <c r="H11">
        <v>36.5</v>
      </c>
      <c r="I11">
        <v>32.56</v>
      </c>
      <c r="J11">
        <v>0.69</v>
      </c>
      <c r="K11" s="98">
        <f t="shared" ref="K11:K15" si="2">PATH_SITE_BIRM(H11,I11,J11)*G11</f>
        <v>43286.270400000001</v>
      </c>
      <c r="O11" t="s">
        <v>429</v>
      </c>
      <c r="P11" s="17">
        <f>K7</f>
        <v>488.11337999999995</v>
      </c>
      <c r="Q11" s="17">
        <f>K13</f>
        <v>5121.3702599999997</v>
      </c>
      <c r="R11" s="17">
        <f t="shared" si="1"/>
        <v>41.183155200000002</v>
      </c>
    </row>
    <row r="12" spans="1:19" x14ac:dyDescent="0.25">
      <c r="C12">
        <v>2013</v>
      </c>
      <c r="D12" t="s">
        <v>320</v>
      </c>
      <c r="E12" t="s">
        <v>327</v>
      </c>
      <c r="F12" t="s">
        <v>329</v>
      </c>
      <c r="G12">
        <v>5.4</v>
      </c>
      <c r="H12">
        <v>14.67</v>
      </c>
      <c r="I12">
        <v>11.67</v>
      </c>
      <c r="J12">
        <v>0.67</v>
      </c>
      <c r="K12" s="98">
        <f t="shared" si="2"/>
        <v>11065.24908</v>
      </c>
      <c r="O12" t="s">
        <v>430</v>
      </c>
      <c r="P12" s="17">
        <f>K8</f>
        <v>162.42536000000001</v>
      </c>
      <c r="Q12" s="17">
        <f>K14</f>
        <v>1768.0381199999999</v>
      </c>
      <c r="R12" s="17">
        <f t="shared" si="1"/>
        <v>0</v>
      </c>
      <c r="S12" s="1"/>
    </row>
    <row r="13" spans="1:19" x14ac:dyDescent="0.25">
      <c r="C13">
        <v>2013</v>
      </c>
      <c r="D13" t="s">
        <v>319</v>
      </c>
      <c r="E13" t="s">
        <v>327</v>
      </c>
      <c r="F13" t="s">
        <v>329</v>
      </c>
      <c r="G13">
        <v>2.7</v>
      </c>
      <c r="H13">
        <v>10</v>
      </c>
      <c r="I13">
        <v>8.67</v>
      </c>
      <c r="J13">
        <v>0.33</v>
      </c>
      <c r="K13" s="98">
        <f t="shared" si="2"/>
        <v>5121.3702599999997</v>
      </c>
      <c r="N13" s="1"/>
      <c r="O13" s="81"/>
      <c r="P13" s="81"/>
      <c r="Q13" s="81"/>
      <c r="R13" s="17"/>
      <c r="S13" s="81"/>
    </row>
    <row r="14" spans="1:19" x14ac:dyDescent="0.25">
      <c r="C14">
        <v>2013</v>
      </c>
      <c r="D14" t="s">
        <v>187</v>
      </c>
      <c r="E14" t="s">
        <v>327</v>
      </c>
      <c r="F14" t="s">
        <v>329</v>
      </c>
      <c r="G14">
        <v>0.9</v>
      </c>
      <c r="H14">
        <v>8</v>
      </c>
      <c r="I14">
        <v>8</v>
      </c>
      <c r="J14">
        <v>2</v>
      </c>
      <c r="K14" s="98">
        <f t="shared" si="2"/>
        <v>1768.0381199999999</v>
      </c>
      <c r="N14" s="1"/>
      <c r="O14" s="81"/>
      <c r="P14" s="81"/>
      <c r="Q14" s="81"/>
      <c r="R14" s="81"/>
      <c r="S14" s="81"/>
    </row>
    <row r="15" spans="1:19" x14ac:dyDescent="0.25">
      <c r="C15">
        <v>2013</v>
      </c>
      <c r="E15" t="s">
        <v>327</v>
      </c>
      <c r="F15" t="s">
        <v>329</v>
      </c>
      <c r="G15">
        <v>27</v>
      </c>
      <c r="H15">
        <v>31.23</v>
      </c>
      <c r="I15">
        <v>28.33</v>
      </c>
      <c r="J15">
        <v>1.1299999999999999</v>
      </c>
      <c r="K15" s="98">
        <f t="shared" si="2"/>
        <v>76962.260699999999</v>
      </c>
      <c r="N15" s="1"/>
    </row>
    <row r="16" spans="1:19" x14ac:dyDescent="0.25">
      <c r="C16">
        <v>2013</v>
      </c>
      <c r="D16" t="s">
        <v>343</v>
      </c>
      <c r="E16" t="s">
        <v>327</v>
      </c>
      <c r="F16" t="s">
        <v>432</v>
      </c>
      <c r="G16">
        <f>ROUND(Incidents!F19*(1-p_screen_incid)/p_screen_incid,0)</f>
        <v>1</v>
      </c>
      <c r="H16">
        <v>56.75</v>
      </c>
      <c r="K16" s="98">
        <f>PATH_INFORM(H16)*G16</f>
        <v>233.71440575999998</v>
      </c>
      <c r="N16" s="1"/>
    </row>
    <row r="17" spans="3:17" x14ac:dyDescent="0.25">
      <c r="C17">
        <v>2013</v>
      </c>
      <c r="D17" t="s">
        <v>214</v>
      </c>
      <c r="E17" t="s">
        <v>327</v>
      </c>
      <c r="F17" t="s">
        <v>432</v>
      </c>
      <c r="G17">
        <f>ROUND(Incidents!F20*(1-p_screen_incid)/p_screen_incid,0)</f>
        <v>3</v>
      </c>
      <c r="H17">
        <v>36.5</v>
      </c>
      <c r="K17" s="98">
        <f t="shared" ref="K17:K21" si="3">PATH_INFORM(H17)*G17</f>
        <v>450.95554944000003</v>
      </c>
      <c r="N17" s="1"/>
    </row>
    <row r="18" spans="3:17" x14ac:dyDescent="0.25">
      <c r="C18">
        <v>2013</v>
      </c>
      <c r="D18" t="s">
        <v>320</v>
      </c>
      <c r="E18" t="s">
        <v>327</v>
      </c>
      <c r="F18" t="s">
        <v>432</v>
      </c>
      <c r="G18">
        <f>ROUND(Incidents!F21*(1-p_screen_incid)/p_screen_incid,0)</f>
        <v>1</v>
      </c>
      <c r="H18">
        <v>14.67</v>
      </c>
      <c r="K18" s="98">
        <f t="shared" si="3"/>
        <v>60.415688678399995</v>
      </c>
      <c r="N18" s="1"/>
    </row>
    <row r="19" spans="3:17" x14ac:dyDescent="0.25">
      <c r="C19">
        <v>2013</v>
      </c>
      <c r="D19" t="s">
        <v>319</v>
      </c>
      <c r="E19" t="s">
        <v>327</v>
      </c>
      <c r="F19" t="s">
        <v>432</v>
      </c>
      <c r="G19">
        <f>ROUND(Incidents!F22*(1-p_screen_incid)/p_screen_incid,0)</f>
        <v>1</v>
      </c>
      <c r="H19">
        <v>10</v>
      </c>
      <c r="K19" s="98">
        <f t="shared" si="3"/>
        <v>41.183155200000002</v>
      </c>
      <c r="N19" s="1"/>
    </row>
    <row r="20" spans="3:17" x14ac:dyDescent="0.25">
      <c r="C20">
        <v>2013</v>
      </c>
      <c r="D20" t="s">
        <v>187</v>
      </c>
      <c r="E20" t="s">
        <v>327</v>
      </c>
      <c r="F20" t="s">
        <v>432</v>
      </c>
      <c r="G20">
        <f>ROUND(Incidents!F23*(1-p_screen_incid)/p_screen_incid,0)</f>
        <v>0</v>
      </c>
      <c r="H20">
        <v>8</v>
      </c>
      <c r="K20" s="98">
        <f t="shared" si="3"/>
        <v>0</v>
      </c>
      <c r="N20" s="1"/>
    </row>
    <row r="21" spans="3:17" x14ac:dyDescent="0.25">
      <c r="C21">
        <v>2013</v>
      </c>
      <c r="E21" t="s">
        <v>327</v>
      </c>
      <c r="F21" t="s">
        <v>432</v>
      </c>
      <c r="G21">
        <f>ROUND(Incidents!F24*(1-p_screen_incid)/p_screen_incid,0)</f>
        <v>5</v>
      </c>
      <c r="H21">
        <v>31.23</v>
      </c>
      <c r="K21" s="98">
        <f t="shared" si="3"/>
        <v>643.07496844799994</v>
      </c>
      <c r="N21" s="1"/>
    </row>
    <row r="22" spans="3:17" x14ac:dyDescent="0.25">
      <c r="K22" s="17"/>
      <c r="N22" s="1"/>
    </row>
    <row r="23" spans="3:17" x14ac:dyDescent="0.25">
      <c r="K23" s="17"/>
      <c r="N23" s="1"/>
    </row>
    <row r="24" spans="3:17" x14ac:dyDescent="0.25">
      <c r="G24" s="81"/>
      <c r="H24" s="81"/>
      <c r="I24" s="81"/>
      <c r="J24" s="105"/>
      <c r="K24" s="17"/>
    </row>
    <row r="25" spans="3:17" x14ac:dyDescent="0.25">
      <c r="C25">
        <v>2014</v>
      </c>
      <c r="D25" t="s">
        <v>343</v>
      </c>
      <c r="E25" t="s">
        <v>327</v>
      </c>
      <c r="F25" t="s">
        <v>328</v>
      </c>
      <c r="G25">
        <v>0.2</v>
      </c>
      <c r="H25">
        <v>6.5</v>
      </c>
      <c r="I25">
        <v>6</v>
      </c>
      <c r="J25">
        <v>0.5</v>
      </c>
      <c r="K25" s="98">
        <f t="shared" ref="K25:K30" si="4">PATH_INVITE_BIRM(H25,I25,J25)*G25</f>
        <v>249.09734</v>
      </c>
    </row>
    <row r="26" spans="3:17" x14ac:dyDescent="0.25">
      <c r="C26">
        <v>2014</v>
      </c>
      <c r="D26" t="s">
        <v>214</v>
      </c>
      <c r="E26" t="s">
        <v>327</v>
      </c>
      <c r="F26" t="s">
        <v>328</v>
      </c>
      <c r="G26">
        <v>1.1000000000000001</v>
      </c>
      <c r="H26">
        <v>118.82</v>
      </c>
      <c r="I26">
        <v>97.91</v>
      </c>
      <c r="J26">
        <v>11.45</v>
      </c>
      <c r="K26" s="98">
        <f t="shared" si="4"/>
        <v>16889.151840000002</v>
      </c>
    </row>
    <row r="27" spans="3:17" x14ac:dyDescent="0.25">
      <c r="C27">
        <v>2014</v>
      </c>
      <c r="D27" t="s">
        <v>320</v>
      </c>
      <c r="E27" t="s">
        <v>327</v>
      </c>
      <c r="F27" t="s">
        <v>328</v>
      </c>
      <c r="G27">
        <v>0.7</v>
      </c>
      <c r="H27">
        <v>15.43</v>
      </c>
      <c r="I27">
        <v>13.43</v>
      </c>
      <c r="J27">
        <v>0.28999999999999998</v>
      </c>
      <c r="K27" s="98">
        <f t="shared" si="4"/>
        <v>1623.8000799999998</v>
      </c>
    </row>
    <row r="28" spans="3:17" x14ac:dyDescent="0.25">
      <c r="C28">
        <v>2014</v>
      </c>
      <c r="D28" t="s">
        <v>319</v>
      </c>
      <c r="E28" t="s">
        <v>327</v>
      </c>
      <c r="F28" t="s">
        <v>328</v>
      </c>
      <c r="G28">
        <v>0.5</v>
      </c>
      <c r="H28">
        <v>7.4</v>
      </c>
      <c r="I28">
        <v>3.6</v>
      </c>
      <c r="J28">
        <v>0.8</v>
      </c>
      <c r="K28" s="98">
        <f t="shared" si="4"/>
        <v>464.0009</v>
      </c>
      <c r="P28" s="1" t="s">
        <v>434</v>
      </c>
      <c r="Q28" s="1" t="s">
        <v>435</v>
      </c>
    </row>
    <row r="29" spans="3:17" x14ac:dyDescent="0.25">
      <c r="C29">
        <v>2014</v>
      </c>
      <c r="D29" t="s">
        <v>187</v>
      </c>
      <c r="E29" t="s">
        <v>327</v>
      </c>
      <c r="F29" t="s">
        <v>328</v>
      </c>
      <c r="G29">
        <v>1.3</v>
      </c>
      <c r="H29">
        <v>16.079999999999998</v>
      </c>
      <c r="I29">
        <v>11.38</v>
      </c>
      <c r="J29">
        <v>0.54</v>
      </c>
      <c r="K29" s="98">
        <f t="shared" si="4"/>
        <v>2661.9652800000003</v>
      </c>
      <c r="O29" t="s">
        <v>426</v>
      </c>
      <c r="P29" s="17">
        <f t="shared" ref="P29:P33" si="5">K25</f>
        <v>249.09734</v>
      </c>
      <c r="Q29" s="17">
        <f>K31</f>
        <v>3224.9286000000002</v>
      </c>
    </row>
    <row r="30" spans="3:17" x14ac:dyDescent="0.25">
      <c r="C30">
        <v>2014</v>
      </c>
      <c r="E30" t="s">
        <v>327</v>
      </c>
      <c r="F30" t="s">
        <v>328</v>
      </c>
      <c r="G30">
        <v>3.8</v>
      </c>
      <c r="H30">
        <v>44.05</v>
      </c>
      <c r="I30">
        <v>35.5</v>
      </c>
      <c r="J30">
        <v>3.68</v>
      </c>
      <c r="K30" s="98">
        <f t="shared" si="4"/>
        <v>21887.551220000001</v>
      </c>
      <c r="O30" t="s">
        <v>427</v>
      </c>
      <c r="P30" s="17">
        <f t="shared" si="5"/>
        <v>16889.151840000002</v>
      </c>
      <c r="Q30" s="17">
        <f t="shared" ref="Q30:Q33" si="6">K32</f>
        <v>63998.367840000006</v>
      </c>
    </row>
    <row r="31" spans="3:17" x14ac:dyDescent="0.25">
      <c r="C31">
        <v>2014</v>
      </c>
      <c r="D31" t="s">
        <v>343</v>
      </c>
      <c r="E31" t="s">
        <v>327</v>
      </c>
      <c r="F31" t="s">
        <v>329</v>
      </c>
      <c r="G31">
        <v>1.8</v>
      </c>
      <c r="H31">
        <v>6.5</v>
      </c>
      <c r="I31">
        <v>6</v>
      </c>
      <c r="J31">
        <v>0.5</v>
      </c>
      <c r="K31" s="98">
        <f>PATH_SITE_BIRM(H31,I31,J31)*G31</f>
        <v>3224.9286000000002</v>
      </c>
      <c r="O31" t="s">
        <v>428</v>
      </c>
      <c r="P31" s="17">
        <f t="shared" si="5"/>
        <v>1623.8000799999998</v>
      </c>
      <c r="Q31" s="17">
        <f t="shared" si="6"/>
        <v>13214.612880000001</v>
      </c>
    </row>
    <row r="32" spans="3:17" x14ac:dyDescent="0.25">
      <c r="C32">
        <v>2014</v>
      </c>
      <c r="D32" t="s">
        <v>214</v>
      </c>
      <c r="E32" t="s">
        <v>327</v>
      </c>
      <c r="F32" t="s">
        <v>329</v>
      </c>
      <c r="G32">
        <v>9.9</v>
      </c>
      <c r="H32">
        <v>118.82</v>
      </c>
      <c r="I32">
        <v>97.91</v>
      </c>
      <c r="J32">
        <v>11.45</v>
      </c>
      <c r="K32" s="98">
        <f t="shared" ref="K32:K36" si="7">PATH_SITE_BIRM(H32,I32,J32)*G32</f>
        <v>63998.367840000006</v>
      </c>
      <c r="O32" t="s">
        <v>430</v>
      </c>
      <c r="P32" s="17">
        <f t="shared" si="5"/>
        <v>464.0009</v>
      </c>
      <c r="Q32" s="17">
        <f t="shared" si="6"/>
        <v>7733.4079500000007</v>
      </c>
    </row>
    <row r="33" spans="3:17" x14ac:dyDescent="0.25">
      <c r="C33">
        <v>2014</v>
      </c>
      <c r="D33" t="s">
        <v>320</v>
      </c>
      <c r="E33" t="s">
        <v>327</v>
      </c>
      <c r="F33" t="s">
        <v>329</v>
      </c>
      <c r="G33">
        <v>6.3</v>
      </c>
      <c r="H33">
        <v>15.43</v>
      </c>
      <c r="I33">
        <v>13.43</v>
      </c>
      <c r="J33">
        <v>0.28999999999999998</v>
      </c>
      <c r="K33" s="98">
        <f t="shared" si="7"/>
        <v>13214.612880000001</v>
      </c>
      <c r="O33" t="s">
        <v>431</v>
      </c>
      <c r="P33" s="17">
        <f t="shared" si="5"/>
        <v>2661.9652800000003</v>
      </c>
      <c r="Q33" s="17">
        <f t="shared" si="6"/>
        <v>23802.242489999997</v>
      </c>
    </row>
    <row r="34" spans="3:17" x14ac:dyDescent="0.25">
      <c r="C34">
        <v>2014</v>
      </c>
      <c r="D34" t="s">
        <v>319</v>
      </c>
      <c r="E34" t="s">
        <v>327</v>
      </c>
      <c r="F34" t="s">
        <v>329</v>
      </c>
      <c r="G34">
        <v>4.5</v>
      </c>
      <c r="H34">
        <v>7.4</v>
      </c>
      <c r="I34">
        <v>3.6</v>
      </c>
      <c r="J34">
        <v>0.8</v>
      </c>
      <c r="K34" s="98">
        <f t="shared" si="7"/>
        <v>7733.4079500000007</v>
      </c>
      <c r="P34" s="17"/>
      <c r="Q34" s="17"/>
    </row>
    <row r="35" spans="3:17" x14ac:dyDescent="0.25">
      <c r="C35">
        <v>2014</v>
      </c>
      <c r="D35" t="s">
        <v>187</v>
      </c>
      <c r="E35" t="s">
        <v>327</v>
      </c>
      <c r="F35" t="s">
        <v>329</v>
      </c>
      <c r="G35">
        <v>11.7</v>
      </c>
      <c r="H35">
        <v>16.079999999999998</v>
      </c>
      <c r="I35">
        <v>11.38</v>
      </c>
      <c r="J35">
        <v>0.54</v>
      </c>
      <c r="K35" s="98">
        <f t="shared" si="7"/>
        <v>23802.242489999997</v>
      </c>
      <c r="P35" s="17"/>
      <c r="Q35" s="17"/>
    </row>
    <row r="36" spans="3:17" x14ac:dyDescent="0.25">
      <c r="C36">
        <v>2014</v>
      </c>
      <c r="E36" t="s">
        <v>327</v>
      </c>
      <c r="F36" t="s">
        <v>329</v>
      </c>
      <c r="G36">
        <v>34.200000000000003</v>
      </c>
      <c r="H36">
        <v>44.05</v>
      </c>
      <c r="I36">
        <v>35.5</v>
      </c>
      <c r="J36">
        <v>3.68</v>
      </c>
      <c r="K36" s="98">
        <f t="shared" si="7"/>
        <v>113675.31432</v>
      </c>
    </row>
    <row r="37" spans="3:17" x14ac:dyDescent="0.25">
      <c r="H37" s="31"/>
      <c r="I37" s="31"/>
      <c r="J37" s="31"/>
      <c r="K37" s="107"/>
    </row>
    <row r="38" spans="3:17" x14ac:dyDescent="0.25">
      <c r="H38" s="31"/>
      <c r="I38" s="31"/>
      <c r="J38" s="31"/>
      <c r="K38" s="107"/>
    </row>
    <row r="39" spans="3:17" x14ac:dyDescent="0.25">
      <c r="H39" s="31"/>
      <c r="I39" s="31"/>
      <c r="J39" s="31"/>
      <c r="K39" s="107"/>
    </row>
    <row r="40" spans="3:17" x14ac:dyDescent="0.25">
      <c r="H40" s="31"/>
      <c r="I40" s="31"/>
      <c r="J40" s="31"/>
      <c r="K40" s="107"/>
    </row>
    <row r="41" spans="3:17" x14ac:dyDescent="0.25">
      <c r="H41" s="31"/>
      <c r="I41" s="31"/>
      <c r="J41" s="31"/>
    </row>
    <row r="42" spans="3:17" x14ac:dyDescent="0.25">
      <c r="C42">
        <v>2015</v>
      </c>
      <c r="D42" t="s">
        <v>343</v>
      </c>
      <c r="E42" t="s">
        <v>327</v>
      </c>
      <c r="F42" t="s">
        <v>328</v>
      </c>
      <c r="G42">
        <v>0.5</v>
      </c>
      <c r="H42">
        <v>13</v>
      </c>
      <c r="I42">
        <v>9.8000000000000007</v>
      </c>
      <c r="J42">
        <v>0.8</v>
      </c>
      <c r="K42" s="98">
        <f>PATH_INVITE_BIRM(H42,I42,J42)*G42</f>
        <v>913.63885000000005</v>
      </c>
    </row>
    <row r="43" spans="3:17" x14ac:dyDescent="0.25">
      <c r="C43">
        <v>2015</v>
      </c>
      <c r="D43" t="s">
        <v>214</v>
      </c>
      <c r="E43" t="s">
        <v>327</v>
      </c>
      <c r="F43" t="s">
        <v>328</v>
      </c>
      <c r="G43">
        <v>0.6</v>
      </c>
      <c r="H43">
        <v>229.83</v>
      </c>
      <c r="I43">
        <v>217.67</v>
      </c>
      <c r="J43">
        <v>9.5</v>
      </c>
      <c r="K43" s="98">
        <f>PATH_INVITE_BIRM(H43,I43,J43)*G43</f>
        <v>19571.44614</v>
      </c>
    </row>
    <row r="44" spans="3:17" x14ac:dyDescent="0.25">
      <c r="C44">
        <v>2015</v>
      </c>
      <c r="D44" t="s">
        <v>320</v>
      </c>
      <c r="E44" t="s">
        <v>327</v>
      </c>
      <c r="F44" t="s">
        <v>328</v>
      </c>
      <c r="G44">
        <v>0.3</v>
      </c>
      <c r="H44">
        <v>26.33</v>
      </c>
      <c r="I44">
        <v>25</v>
      </c>
      <c r="J44">
        <v>0.67</v>
      </c>
      <c r="K44" s="98">
        <f t="shared" ref="K44:K47" si="8">PATH_INVITE_BIRM(H44,I44,J44)*G44</f>
        <v>1206.7547999999999</v>
      </c>
    </row>
    <row r="45" spans="3:17" x14ac:dyDescent="0.25">
      <c r="C45">
        <v>2015</v>
      </c>
      <c r="D45" t="s">
        <v>319</v>
      </c>
      <c r="E45" t="s">
        <v>327</v>
      </c>
      <c r="F45" t="s">
        <v>328</v>
      </c>
      <c r="G45">
        <v>0.3</v>
      </c>
      <c r="H45">
        <v>10.33</v>
      </c>
      <c r="I45">
        <v>5.67</v>
      </c>
      <c r="J45">
        <v>0.33</v>
      </c>
      <c r="K45" s="98">
        <f t="shared" si="8"/>
        <v>361.32884999999999</v>
      </c>
      <c r="P45" s="1" t="s">
        <v>434</v>
      </c>
      <c r="Q45" s="1" t="s">
        <v>435</v>
      </c>
    </row>
    <row r="46" spans="3:17" x14ac:dyDescent="0.25">
      <c r="C46">
        <v>2015</v>
      </c>
      <c r="D46" t="s">
        <v>187</v>
      </c>
      <c r="E46" t="s">
        <v>327</v>
      </c>
      <c r="F46" t="s">
        <v>328</v>
      </c>
      <c r="G46">
        <v>0.2</v>
      </c>
      <c r="H46">
        <v>27.5</v>
      </c>
      <c r="I46">
        <v>25.5</v>
      </c>
      <c r="J46">
        <v>0</v>
      </c>
      <c r="K46" s="98">
        <f t="shared" si="8"/>
        <v>811.56472000000008</v>
      </c>
      <c r="O46" t="s">
        <v>426</v>
      </c>
      <c r="P46" s="17">
        <f t="shared" ref="P46:P50" si="9">K42</f>
        <v>913.63885000000005</v>
      </c>
      <c r="Q46" s="17">
        <f t="shared" ref="Q46:Q50" si="10">K48</f>
        <v>8903.4768000000004</v>
      </c>
    </row>
    <row r="47" spans="3:17" x14ac:dyDescent="0.25">
      <c r="C47">
        <v>2015</v>
      </c>
      <c r="E47" t="s">
        <v>327</v>
      </c>
      <c r="F47" t="s">
        <v>328</v>
      </c>
      <c r="G47">
        <v>1.9</v>
      </c>
      <c r="H47">
        <v>84.68</v>
      </c>
      <c r="I47">
        <v>78.84</v>
      </c>
      <c r="J47">
        <v>3.37</v>
      </c>
      <c r="K47" s="98">
        <f t="shared" si="8"/>
        <v>22863.907449999999</v>
      </c>
      <c r="O47" t="s">
        <v>427</v>
      </c>
      <c r="P47" s="17">
        <f t="shared" si="9"/>
        <v>19571.44614</v>
      </c>
      <c r="Q47" s="17">
        <f t="shared" si="10"/>
        <v>73114.659720000011</v>
      </c>
    </row>
    <row r="48" spans="3:17" x14ac:dyDescent="0.25">
      <c r="C48">
        <v>2015</v>
      </c>
      <c r="D48" t="s">
        <v>343</v>
      </c>
      <c r="E48" t="s">
        <v>327</v>
      </c>
      <c r="F48" t="s">
        <v>329</v>
      </c>
      <c r="G48">
        <v>4.5</v>
      </c>
      <c r="H48">
        <v>13</v>
      </c>
      <c r="I48">
        <v>9.8000000000000007</v>
      </c>
      <c r="J48">
        <v>0.8</v>
      </c>
      <c r="K48" s="98">
        <f t="shared" ref="K48:K49" si="11">PATH_SITE_BIRM(H48,I48,J48)*G48</f>
        <v>8903.4768000000004</v>
      </c>
      <c r="O48" t="s">
        <v>428</v>
      </c>
      <c r="P48" s="17">
        <f t="shared" si="9"/>
        <v>1206.7547999999999</v>
      </c>
      <c r="Q48" s="17">
        <f t="shared" si="10"/>
        <v>7038.8119800000004</v>
      </c>
    </row>
    <row r="49" spans="3:17" x14ac:dyDescent="0.25">
      <c r="C49">
        <v>2015</v>
      </c>
      <c r="D49" t="s">
        <v>214</v>
      </c>
      <c r="E49" t="s">
        <v>327</v>
      </c>
      <c r="F49" t="s">
        <v>329</v>
      </c>
      <c r="G49">
        <v>5.4</v>
      </c>
      <c r="H49">
        <v>229.83</v>
      </c>
      <c r="I49">
        <v>217.67</v>
      </c>
      <c r="J49">
        <v>9.5</v>
      </c>
      <c r="K49" s="98">
        <f t="shared" si="11"/>
        <v>73114.659720000011</v>
      </c>
      <c r="O49" t="s">
        <v>430</v>
      </c>
      <c r="P49" s="17">
        <f t="shared" si="9"/>
        <v>361.32884999999999</v>
      </c>
      <c r="Q49" s="17">
        <f t="shared" si="10"/>
        <v>4807.2787200000002</v>
      </c>
    </row>
    <row r="50" spans="3:17" x14ac:dyDescent="0.25">
      <c r="C50">
        <v>2015</v>
      </c>
      <c r="D50" t="s">
        <v>320</v>
      </c>
      <c r="E50" t="s">
        <v>327</v>
      </c>
      <c r="F50" t="s">
        <v>329</v>
      </c>
      <c r="G50">
        <v>2.7</v>
      </c>
      <c r="H50">
        <v>26.33</v>
      </c>
      <c r="I50">
        <v>25</v>
      </c>
      <c r="J50">
        <v>0.67</v>
      </c>
      <c r="K50" s="98">
        <f>PATH_SITE_BIRM(H50,I50,J50)*G50</f>
        <v>7038.8119800000004</v>
      </c>
      <c r="O50" t="s">
        <v>431</v>
      </c>
      <c r="P50" s="17">
        <f t="shared" si="9"/>
        <v>811.56472000000008</v>
      </c>
      <c r="Q50" s="17">
        <f t="shared" si="10"/>
        <v>4788.6345000000001</v>
      </c>
    </row>
    <row r="51" spans="3:17" x14ac:dyDescent="0.25">
      <c r="C51">
        <v>2015</v>
      </c>
      <c r="D51" t="s">
        <v>319</v>
      </c>
      <c r="E51" t="s">
        <v>327</v>
      </c>
      <c r="F51" t="s">
        <v>329</v>
      </c>
      <c r="G51">
        <v>2.7</v>
      </c>
      <c r="H51">
        <v>10.33</v>
      </c>
      <c r="I51">
        <v>5.67</v>
      </c>
      <c r="J51">
        <v>0.33</v>
      </c>
      <c r="K51" s="98">
        <f>PATH_SITE_BIRM(H51,I51,J51)*G51</f>
        <v>4807.2787200000002</v>
      </c>
    </row>
    <row r="52" spans="3:17" x14ac:dyDescent="0.25">
      <c r="C52">
        <v>2015</v>
      </c>
      <c r="D52" t="s">
        <v>187</v>
      </c>
      <c r="E52" t="s">
        <v>327</v>
      </c>
      <c r="F52" t="s">
        <v>329</v>
      </c>
      <c r="G52">
        <v>1.8</v>
      </c>
      <c r="H52">
        <v>27.5</v>
      </c>
      <c r="I52">
        <v>25.5</v>
      </c>
      <c r="J52">
        <v>0</v>
      </c>
      <c r="K52" s="98">
        <f>PATH_SITE_BIRM(H52,I52,J52)*G52</f>
        <v>4788.6345000000001</v>
      </c>
    </row>
    <row r="53" spans="3:17" x14ac:dyDescent="0.25">
      <c r="C53">
        <v>2015</v>
      </c>
      <c r="E53" t="s">
        <v>327</v>
      </c>
      <c r="F53" t="s">
        <v>329</v>
      </c>
      <c r="G53">
        <v>17.100000000000001</v>
      </c>
      <c r="H53">
        <v>84.68</v>
      </c>
      <c r="I53">
        <v>78.84</v>
      </c>
      <c r="J53">
        <v>3.37</v>
      </c>
      <c r="K53" s="98">
        <f>PATH_SITE_BIRM(H53,I53,J53)*G53</f>
        <v>87679.7883</v>
      </c>
    </row>
    <row r="54" spans="3:17" x14ac:dyDescent="0.25">
      <c r="H54" s="31"/>
      <c r="I54" s="31"/>
      <c r="J54" s="31"/>
      <c r="K54" s="17"/>
    </row>
    <row r="55" spans="3:17" x14ac:dyDescent="0.25">
      <c r="H55" s="31"/>
      <c r="I55" s="31"/>
      <c r="J55" s="31"/>
      <c r="K55" s="17"/>
    </row>
    <row r="56" spans="3:17" x14ac:dyDescent="0.25">
      <c r="H56" s="31"/>
      <c r="I56" s="31"/>
      <c r="J56" s="31"/>
      <c r="K56" s="17"/>
    </row>
    <row r="57" spans="3:17" x14ac:dyDescent="0.25">
      <c r="H57" s="31"/>
      <c r="I57" s="31"/>
      <c r="J57" s="31"/>
      <c r="K57" s="17"/>
    </row>
    <row r="58" spans="3:17" x14ac:dyDescent="0.25">
      <c r="H58" s="31"/>
      <c r="I58" s="31"/>
      <c r="J58" s="31"/>
    </row>
    <row r="59" spans="3:17" x14ac:dyDescent="0.25">
      <c r="C59">
        <v>2016</v>
      </c>
      <c r="D59" t="s">
        <v>343</v>
      </c>
      <c r="E59" t="s">
        <v>327</v>
      </c>
      <c r="F59" t="s">
        <v>328</v>
      </c>
      <c r="G59">
        <v>0.1</v>
      </c>
      <c r="H59">
        <v>8</v>
      </c>
      <c r="I59">
        <v>8</v>
      </c>
      <c r="J59">
        <v>0</v>
      </c>
      <c r="K59" s="98">
        <f t="shared" ref="K59:K64" si="12">PATH_INVITE_BIRM(H59,I59,J59)*G59</f>
        <v>150.43335999999999</v>
      </c>
    </row>
    <row r="60" spans="3:17" x14ac:dyDescent="0.25">
      <c r="C60">
        <v>2016</v>
      </c>
      <c r="D60" t="s">
        <v>214</v>
      </c>
      <c r="E60" t="s">
        <v>327</v>
      </c>
      <c r="F60" t="s">
        <v>328</v>
      </c>
      <c r="G60">
        <v>0.6</v>
      </c>
      <c r="H60">
        <v>33.67</v>
      </c>
      <c r="I60">
        <v>26.17</v>
      </c>
      <c r="J60">
        <v>0.83</v>
      </c>
      <c r="K60" s="98">
        <f t="shared" si="12"/>
        <v>2536.6127999999999</v>
      </c>
      <c r="P60" s="1" t="s">
        <v>434</v>
      </c>
      <c r="Q60" s="1" t="s">
        <v>435</v>
      </c>
    </row>
    <row r="61" spans="3:17" x14ac:dyDescent="0.25">
      <c r="C61">
        <v>2016</v>
      </c>
      <c r="D61" t="s">
        <v>320</v>
      </c>
      <c r="E61" t="s">
        <v>327</v>
      </c>
      <c r="F61" t="s">
        <v>328</v>
      </c>
      <c r="G61">
        <v>0.9</v>
      </c>
      <c r="H61">
        <v>21.67</v>
      </c>
      <c r="I61">
        <v>17.440000000000001</v>
      </c>
      <c r="J61">
        <v>2.33</v>
      </c>
      <c r="K61" s="98">
        <f t="shared" si="12"/>
        <v>2730.9989700000001</v>
      </c>
      <c r="O61" t="s">
        <v>426</v>
      </c>
      <c r="P61" s="17">
        <f t="shared" ref="P61:P65" si="13">K59</f>
        <v>150.43335999999999</v>
      </c>
      <c r="Q61" s="17">
        <f t="shared" ref="Q61:Q65" si="14">K65</f>
        <v>1660.1101200000001</v>
      </c>
    </row>
    <row r="62" spans="3:17" x14ac:dyDescent="0.25">
      <c r="C62">
        <v>2016</v>
      </c>
      <c r="D62" t="s">
        <v>319</v>
      </c>
      <c r="E62" t="s">
        <v>327</v>
      </c>
      <c r="F62" t="s">
        <v>328</v>
      </c>
      <c r="G62">
        <v>0.2</v>
      </c>
      <c r="H62">
        <v>38.5</v>
      </c>
      <c r="I62">
        <v>29.5</v>
      </c>
      <c r="J62">
        <v>1.5</v>
      </c>
      <c r="K62" s="98">
        <f t="shared" si="12"/>
        <v>951.67282</v>
      </c>
      <c r="O62" t="s">
        <v>427</v>
      </c>
      <c r="P62" s="17">
        <f t="shared" si="13"/>
        <v>2536.6127999999999</v>
      </c>
      <c r="Q62" s="17">
        <f t="shared" si="14"/>
        <v>14880.129840000001</v>
      </c>
    </row>
    <row r="63" spans="3:17" x14ac:dyDescent="0.25">
      <c r="C63">
        <v>2016</v>
      </c>
      <c r="D63" t="s">
        <v>187</v>
      </c>
      <c r="E63" t="s">
        <v>327</v>
      </c>
      <c r="F63" t="s">
        <v>328</v>
      </c>
      <c r="G63">
        <v>0.3</v>
      </c>
      <c r="H63">
        <v>64.33</v>
      </c>
      <c r="I63">
        <v>61.67</v>
      </c>
      <c r="J63">
        <v>2.67</v>
      </c>
      <c r="K63" s="98">
        <f t="shared" si="12"/>
        <v>2844.3930300000002</v>
      </c>
      <c r="O63" t="s">
        <v>428</v>
      </c>
      <c r="P63" s="17">
        <f t="shared" si="13"/>
        <v>2730.9989700000001</v>
      </c>
      <c r="Q63" s="17">
        <f t="shared" si="14"/>
        <v>19409.343929999999</v>
      </c>
    </row>
    <row r="64" spans="3:17" x14ac:dyDescent="0.25">
      <c r="C64">
        <v>2016</v>
      </c>
      <c r="E64" t="s">
        <v>327</v>
      </c>
      <c r="F64" t="s">
        <v>328</v>
      </c>
      <c r="G64">
        <v>2.1</v>
      </c>
      <c r="H64">
        <v>32.14</v>
      </c>
      <c r="I64">
        <v>26.95</v>
      </c>
      <c r="J64">
        <v>1.76</v>
      </c>
      <c r="K64" s="98">
        <f t="shared" si="12"/>
        <v>9213.5045100000007</v>
      </c>
      <c r="O64" t="s">
        <v>430</v>
      </c>
      <c r="P64" s="17">
        <f t="shared" si="13"/>
        <v>951.67282</v>
      </c>
      <c r="Q64" s="17">
        <f t="shared" si="14"/>
        <v>5293.9647000000004</v>
      </c>
    </row>
    <row r="65" spans="3:17" x14ac:dyDescent="0.25">
      <c r="C65">
        <v>2016</v>
      </c>
      <c r="D65" t="s">
        <v>343</v>
      </c>
      <c r="E65" t="s">
        <v>327</v>
      </c>
      <c r="F65" t="s">
        <v>329</v>
      </c>
      <c r="G65">
        <v>0.9</v>
      </c>
      <c r="H65">
        <v>8</v>
      </c>
      <c r="I65">
        <v>8</v>
      </c>
      <c r="J65">
        <v>0</v>
      </c>
      <c r="K65" s="98">
        <f t="shared" ref="K65:K69" si="15">PATH_SITE_BIRM(H65,I65,J65)*G65</f>
        <v>1660.1101200000001</v>
      </c>
      <c r="O65" t="s">
        <v>431</v>
      </c>
      <c r="P65" s="17">
        <f t="shared" si="13"/>
        <v>2844.3930300000002</v>
      </c>
      <c r="Q65" s="17">
        <f t="shared" si="14"/>
        <v>11745.8667</v>
      </c>
    </row>
    <row r="66" spans="3:17" x14ac:dyDescent="0.25">
      <c r="C66">
        <v>2016</v>
      </c>
      <c r="D66" t="s">
        <v>214</v>
      </c>
      <c r="E66" t="s">
        <v>327</v>
      </c>
      <c r="F66" t="s">
        <v>329</v>
      </c>
      <c r="G66">
        <v>5.4</v>
      </c>
      <c r="H66">
        <v>33.67</v>
      </c>
      <c r="I66">
        <v>26.17</v>
      </c>
      <c r="J66">
        <v>0.83</v>
      </c>
      <c r="K66" s="98">
        <f t="shared" si="15"/>
        <v>14880.129840000001</v>
      </c>
    </row>
    <row r="67" spans="3:17" x14ac:dyDescent="0.25">
      <c r="C67">
        <v>2016</v>
      </c>
      <c r="D67" t="s">
        <v>320</v>
      </c>
      <c r="E67" t="s">
        <v>327</v>
      </c>
      <c r="F67" t="s">
        <v>329</v>
      </c>
      <c r="G67">
        <v>8.1</v>
      </c>
      <c r="H67">
        <v>21.67</v>
      </c>
      <c r="I67">
        <v>17.440000000000001</v>
      </c>
      <c r="J67">
        <v>2.33</v>
      </c>
      <c r="K67" s="98">
        <f t="shared" si="15"/>
        <v>19409.343929999999</v>
      </c>
    </row>
    <row r="68" spans="3:17" x14ac:dyDescent="0.25">
      <c r="C68">
        <v>2016</v>
      </c>
      <c r="D68" t="s">
        <v>319</v>
      </c>
      <c r="E68" t="s">
        <v>327</v>
      </c>
      <c r="F68" t="s">
        <v>329</v>
      </c>
      <c r="G68">
        <v>1.8</v>
      </c>
      <c r="H68">
        <v>38.5</v>
      </c>
      <c r="I68">
        <v>29.5</v>
      </c>
      <c r="J68">
        <v>1.5</v>
      </c>
      <c r="K68" s="98">
        <f t="shared" si="15"/>
        <v>5293.9647000000004</v>
      </c>
    </row>
    <row r="69" spans="3:17" x14ac:dyDescent="0.25">
      <c r="C69">
        <v>2016</v>
      </c>
      <c r="D69" t="s">
        <v>187</v>
      </c>
      <c r="E69" t="s">
        <v>327</v>
      </c>
      <c r="F69" t="s">
        <v>329</v>
      </c>
      <c r="G69">
        <v>2.7</v>
      </c>
      <c r="H69">
        <v>64.33</v>
      </c>
      <c r="I69">
        <v>61.67</v>
      </c>
      <c r="J69">
        <v>2.67</v>
      </c>
      <c r="K69" s="98">
        <f t="shared" si="15"/>
        <v>11745.8667</v>
      </c>
    </row>
    <row r="70" spans="3:17" x14ac:dyDescent="0.25">
      <c r="C70">
        <v>2016</v>
      </c>
      <c r="E70" t="s">
        <v>327</v>
      </c>
      <c r="F70" t="s">
        <v>329</v>
      </c>
      <c r="G70">
        <v>18.899999999999999</v>
      </c>
      <c r="H70">
        <v>32.14</v>
      </c>
      <c r="I70">
        <v>26.95</v>
      </c>
      <c r="J70">
        <v>1.76</v>
      </c>
      <c r="K70" s="98">
        <f>PATH_SITE_BIRM(H70,I70,J70)*G70</f>
        <v>53620.859249999994</v>
      </c>
    </row>
    <row r="71" spans="3:17" x14ac:dyDescent="0.25">
      <c r="H71" s="31"/>
      <c r="I71" s="31"/>
      <c r="J71" s="31"/>
      <c r="K71" s="17"/>
    </row>
    <row r="72" spans="3:17" x14ac:dyDescent="0.25">
      <c r="H72" s="31"/>
      <c r="I72" s="31"/>
      <c r="J72" s="31"/>
      <c r="K72" s="17"/>
    </row>
    <row r="73" spans="3:17" x14ac:dyDescent="0.25">
      <c r="H73" s="31"/>
      <c r="I73" s="31"/>
      <c r="J73" s="31"/>
      <c r="K73" s="17"/>
    </row>
    <row r="74" spans="3:17" x14ac:dyDescent="0.25">
      <c r="H74" s="31"/>
      <c r="I74" s="31"/>
      <c r="J74" s="31"/>
      <c r="K74" s="17"/>
    </row>
    <row r="75" spans="3:17" x14ac:dyDescent="0.25">
      <c r="H75" s="31"/>
      <c r="I75" s="31"/>
      <c r="J75" s="31"/>
    </row>
    <row r="76" spans="3:17" x14ac:dyDescent="0.25">
      <c r="C76">
        <v>2017</v>
      </c>
      <c r="D76" t="s">
        <v>343</v>
      </c>
      <c r="E76" t="s">
        <v>327</v>
      </c>
      <c r="F76" t="s">
        <v>328</v>
      </c>
      <c r="G76">
        <v>0.4</v>
      </c>
      <c r="H76">
        <v>4</v>
      </c>
      <c r="I76">
        <v>3</v>
      </c>
      <c r="J76">
        <v>0.25</v>
      </c>
      <c r="K76" s="98">
        <f t="shared" ref="K76:K81" si="16">PATH_INVITE_BIRM(H76,I76,J76)*G76</f>
        <v>318.49068000000005</v>
      </c>
    </row>
    <row r="77" spans="3:17" x14ac:dyDescent="0.25">
      <c r="C77">
        <v>2017</v>
      </c>
      <c r="D77" t="s">
        <v>214</v>
      </c>
      <c r="E77" t="s">
        <v>327</v>
      </c>
      <c r="F77" t="s">
        <v>328</v>
      </c>
      <c r="G77">
        <v>1.1000000000000001</v>
      </c>
      <c r="H77">
        <v>71.09</v>
      </c>
      <c r="I77">
        <v>52.45</v>
      </c>
      <c r="J77">
        <v>0.64</v>
      </c>
      <c r="K77" s="98">
        <f t="shared" si="16"/>
        <v>8892.8588099999997</v>
      </c>
    </row>
    <row r="78" spans="3:17" x14ac:dyDescent="0.25">
      <c r="C78">
        <v>2017</v>
      </c>
      <c r="D78" t="s">
        <v>320</v>
      </c>
      <c r="E78" t="s">
        <v>327</v>
      </c>
      <c r="F78" t="s">
        <v>328</v>
      </c>
      <c r="G78">
        <v>0.6</v>
      </c>
      <c r="H78">
        <v>76.5</v>
      </c>
      <c r="I78">
        <v>48.67</v>
      </c>
      <c r="J78">
        <v>3.83</v>
      </c>
      <c r="K78" s="98">
        <f t="shared" si="16"/>
        <v>4658.2572</v>
      </c>
      <c r="P78" s="1" t="s">
        <v>434</v>
      </c>
      <c r="Q78" s="1" t="s">
        <v>435</v>
      </c>
    </row>
    <row r="79" spans="3:17" x14ac:dyDescent="0.25">
      <c r="C79">
        <v>2017</v>
      </c>
      <c r="D79" t="s">
        <v>319</v>
      </c>
      <c r="E79" t="s">
        <v>327</v>
      </c>
      <c r="F79" t="s">
        <v>328</v>
      </c>
      <c r="G79">
        <v>0.3</v>
      </c>
      <c r="H79">
        <v>26.67</v>
      </c>
      <c r="I79">
        <v>22.33</v>
      </c>
      <c r="J79">
        <v>0.33</v>
      </c>
      <c r="K79" s="98">
        <f t="shared" si="16"/>
        <v>1087.8578399999999</v>
      </c>
      <c r="O79" t="s">
        <v>426</v>
      </c>
      <c r="P79" s="17">
        <f t="shared" ref="P79:P83" si="17">K76</f>
        <v>318.49068000000005</v>
      </c>
      <c r="Q79" s="17">
        <f t="shared" ref="Q79:Q83" si="18">K82</f>
        <v>5945.3186400000004</v>
      </c>
    </row>
    <row r="80" spans="3:17" x14ac:dyDescent="0.25">
      <c r="C80">
        <v>2017</v>
      </c>
      <c r="D80" t="s">
        <v>187</v>
      </c>
      <c r="E80" t="s">
        <v>327</v>
      </c>
      <c r="F80" t="s">
        <v>328</v>
      </c>
      <c r="G80">
        <v>0.2</v>
      </c>
      <c r="H80">
        <v>70.5</v>
      </c>
      <c r="I80">
        <v>53</v>
      </c>
      <c r="J80">
        <v>6</v>
      </c>
      <c r="K80" s="98">
        <f t="shared" si="16"/>
        <v>1696.2203000000002</v>
      </c>
      <c r="O80" t="s">
        <v>427</v>
      </c>
      <c r="P80" s="17">
        <f t="shared" si="17"/>
        <v>8892.8588099999997</v>
      </c>
      <c r="Q80" s="17">
        <f t="shared" si="18"/>
        <v>38501.171280000002</v>
      </c>
    </row>
    <row r="81" spans="3:17" x14ac:dyDescent="0.25">
      <c r="C81">
        <v>2017</v>
      </c>
      <c r="E81" t="s">
        <v>327</v>
      </c>
      <c r="F81" t="s">
        <v>328</v>
      </c>
      <c r="G81">
        <v>2.6</v>
      </c>
      <c r="H81">
        <v>56.85</v>
      </c>
      <c r="I81">
        <v>40.54</v>
      </c>
      <c r="J81">
        <v>1.69</v>
      </c>
      <c r="K81" s="98">
        <f t="shared" si="16"/>
        <v>16654.436760000001</v>
      </c>
      <c r="O81" t="s">
        <v>428</v>
      </c>
      <c r="P81" s="17">
        <f t="shared" si="17"/>
        <v>4658.2572</v>
      </c>
      <c r="Q81" s="17">
        <f t="shared" si="18"/>
        <v>21326.13954</v>
      </c>
    </row>
    <row r="82" spans="3:17" x14ac:dyDescent="0.25">
      <c r="C82">
        <v>2017</v>
      </c>
      <c r="D82" t="s">
        <v>343</v>
      </c>
      <c r="E82" t="s">
        <v>327</v>
      </c>
      <c r="F82" t="s">
        <v>329</v>
      </c>
      <c r="G82">
        <v>3.6</v>
      </c>
      <c r="H82">
        <v>4</v>
      </c>
      <c r="I82">
        <v>3</v>
      </c>
      <c r="J82">
        <v>0.25</v>
      </c>
      <c r="K82" s="98">
        <f t="shared" ref="K82:K87" si="19">PATH_SITE_BIRM(H82,I82,J82)*G82</f>
        <v>5945.3186400000004</v>
      </c>
      <c r="O82" t="s">
        <v>430</v>
      </c>
      <c r="P82" s="17">
        <f t="shared" si="17"/>
        <v>1087.8578399999999</v>
      </c>
      <c r="Q82" s="17">
        <f t="shared" si="18"/>
        <v>6704.6170499999998</v>
      </c>
    </row>
    <row r="83" spans="3:17" x14ac:dyDescent="0.25">
      <c r="C83">
        <v>2017</v>
      </c>
      <c r="D83" t="s">
        <v>214</v>
      </c>
      <c r="E83" t="s">
        <v>327</v>
      </c>
      <c r="F83" t="s">
        <v>329</v>
      </c>
      <c r="G83">
        <v>9.9</v>
      </c>
      <c r="H83">
        <v>71.09</v>
      </c>
      <c r="I83">
        <v>52.45</v>
      </c>
      <c r="J83">
        <v>0.64</v>
      </c>
      <c r="K83" s="98">
        <f t="shared" si="19"/>
        <v>38501.171280000002</v>
      </c>
      <c r="O83" t="s">
        <v>431</v>
      </c>
      <c r="P83" s="17">
        <f t="shared" si="17"/>
        <v>1696.2203000000002</v>
      </c>
      <c r="Q83" s="17">
        <f t="shared" si="18"/>
        <v>7614.1224000000002</v>
      </c>
    </row>
    <row r="84" spans="3:17" x14ac:dyDescent="0.25">
      <c r="C84">
        <v>2017</v>
      </c>
      <c r="D84" t="s">
        <v>320</v>
      </c>
      <c r="E84" t="s">
        <v>327</v>
      </c>
      <c r="F84" t="s">
        <v>329</v>
      </c>
      <c r="G84">
        <v>5.4</v>
      </c>
      <c r="H84">
        <v>76.5</v>
      </c>
      <c r="I84">
        <v>48.67</v>
      </c>
      <c r="J84">
        <v>3.83</v>
      </c>
      <c r="K84" s="98">
        <f t="shared" si="19"/>
        <v>21326.13954</v>
      </c>
    </row>
    <row r="85" spans="3:17" x14ac:dyDescent="0.25">
      <c r="C85">
        <v>2017</v>
      </c>
      <c r="D85" t="s">
        <v>319</v>
      </c>
      <c r="E85" t="s">
        <v>327</v>
      </c>
      <c r="F85" t="s">
        <v>329</v>
      </c>
      <c r="G85">
        <v>2.7</v>
      </c>
      <c r="H85">
        <v>26.67</v>
      </c>
      <c r="I85">
        <v>22.33</v>
      </c>
      <c r="J85">
        <v>0.33</v>
      </c>
      <c r="K85" s="98">
        <f t="shared" si="19"/>
        <v>6704.6170499999998</v>
      </c>
    </row>
    <row r="86" spans="3:17" x14ac:dyDescent="0.25">
      <c r="C86">
        <v>2017</v>
      </c>
      <c r="D86" t="s">
        <v>187</v>
      </c>
      <c r="E86" t="s">
        <v>327</v>
      </c>
      <c r="F86" t="s">
        <v>329</v>
      </c>
      <c r="G86">
        <v>1.8</v>
      </c>
      <c r="H86">
        <v>70.5</v>
      </c>
      <c r="I86">
        <v>53</v>
      </c>
      <c r="J86">
        <v>6</v>
      </c>
      <c r="K86" s="98">
        <f t="shared" si="19"/>
        <v>7614.1224000000002</v>
      </c>
    </row>
    <row r="87" spans="3:17" x14ac:dyDescent="0.25">
      <c r="C87">
        <v>2017</v>
      </c>
      <c r="E87" t="s">
        <v>327</v>
      </c>
      <c r="F87" t="s">
        <v>329</v>
      </c>
      <c r="G87">
        <v>23.4</v>
      </c>
      <c r="H87">
        <v>56.85</v>
      </c>
      <c r="I87">
        <v>40.54</v>
      </c>
      <c r="J87">
        <v>1.69</v>
      </c>
      <c r="K87" s="98">
        <f t="shared" si="19"/>
        <v>80533.879920000007</v>
      </c>
    </row>
    <row r="88" spans="3:17" x14ac:dyDescent="0.25">
      <c r="H88" s="31"/>
      <c r="I88" s="31"/>
      <c r="J88" s="31"/>
      <c r="K88" s="17"/>
    </row>
    <row r="89" spans="3:17" x14ac:dyDescent="0.25">
      <c r="H89" s="31"/>
      <c r="I89" s="31"/>
      <c r="J89" s="31"/>
      <c r="K89" s="17"/>
    </row>
    <row r="90" spans="3:17" x14ac:dyDescent="0.25">
      <c r="H90" s="31"/>
      <c r="I90" s="31"/>
      <c r="J90" s="31"/>
      <c r="K90" s="17"/>
    </row>
    <row r="91" spans="3:17" x14ac:dyDescent="0.25">
      <c r="H91" s="31"/>
      <c r="I91" s="31"/>
      <c r="J91" s="31"/>
      <c r="K91" s="17"/>
    </row>
    <row r="92" spans="3:17" x14ac:dyDescent="0.25">
      <c r="H92" s="31"/>
      <c r="I92" s="31"/>
      <c r="J92" s="31"/>
      <c r="K92" s="17"/>
    </row>
    <row r="93" spans="3:17" x14ac:dyDescent="0.25">
      <c r="C93" s="1" t="s">
        <v>315</v>
      </c>
      <c r="D93" s="1" t="s">
        <v>216</v>
      </c>
      <c r="E93" s="1" t="s">
        <v>217</v>
      </c>
      <c r="F93" s="1" t="s">
        <v>331</v>
      </c>
      <c r="G93" s="1" t="s">
        <v>76</v>
      </c>
      <c r="H93" s="1" t="s">
        <v>332</v>
      </c>
      <c r="I93" s="1" t="s">
        <v>333</v>
      </c>
      <c r="J93" s="1" t="s">
        <v>334</v>
      </c>
      <c r="K93" s="106" t="s">
        <v>220</v>
      </c>
    </row>
    <row r="94" spans="3:17" x14ac:dyDescent="0.25">
      <c r="C94">
        <v>2018</v>
      </c>
      <c r="D94" t="s">
        <v>343</v>
      </c>
      <c r="E94" t="s">
        <v>327</v>
      </c>
      <c r="F94" t="s">
        <v>328</v>
      </c>
      <c r="G94">
        <v>0.1</v>
      </c>
      <c r="H94">
        <v>13</v>
      </c>
      <c r="I94">
        <v>11</v>
      </c>
      <c r="J94">
        <v>0</v>
      </c>
      <c r="K94" s="98">
        <f>PATH_INVITE_BIRM(H94,I94,J94)*G94</f>
        <v>194.88994000000002</v>
      </c>
    </row>
    <row r="95" spans="3:17" x14ac:dyDescent="0.25">
      <c r="C95">
        <v>2018</v>
      </c>
      <c r="D95" t="s">
        <v>214</v>
      </c>
      <c r="E95" t="s">
        <v>327</v>
      </c>
      <c r="F95" t="s">
        <v>328</v>
      </c>
      <c r="G95">
        <v>0.6</v>
      </c>
      <c r="H95">
        <v>34.83</v>
      </c>
      <c r="I95">
        <v>28.17</v>
      </c>
      <c r="J95">
        <v>0.5</v>
      </c>
      <c r="K95" s="98">
        <f t="shared" ref="K95:K99" si="20">PATH_INVITE_BIRM(H95,I95,J95)*G95</f>
        <v>2697.1967399999999</v>
      </c>
    </row>
    <row r="96" spans="3:17" x14ac:dyDescent="0.25">
      <c r="C96">
        <v>2018</v>
      </c>
      <c r="D96" t="s">
        <v>320</v>
      </c>
      <c r="E96" t="s">
        <v>327</v>
      </c>
      <c r="F96" t="s">
        <v>328</v>
      </c>
      <c r="G96">
        <v>0.4</v>
      </c>
      <c r="H96">
        <v>15.5</v>
      </c>
      <c r="I96">
        <v>13.25</v>
      </c>
      <c r="J96">
        <v>3.5</v>
      </c>
      <c r="K96" s="98">
        <f t="shared" si="20"/>
        <v>994.81432000000007</v>
      </c>
      <c r="P96" s="1" t="s">
        <v>434</v>
      </c>
      <c r="Q96" s="1" t="s">
        <v>435</v>
      </c>
    </row>
    <row r="97" spans="3:17" x14ac:dyDescent="0.25">
      <c r="C97">
        <v>2018</v>
      </c>
      <c r="D97" t="s">
        <v>319</v>
      </c>
      <c r="E97" t="s">
        <v>327</v>
      </c>
      <c r="F97" t="s">
        <v>328</v>
      </c>
      <c r="G97">
        <v>0.3</v>
      </c>
      <c r="H97">
        <v>18.670000000000002</v>
      </c>
      <c r="I97">
        <v>8</v>
      </c>
      <c r="J97">
        <v>0</v>
      </c>
      <c r="K97" s="98">
        <f t="shared" si="20"/>
        <v>464.4828</v>
      </c>
      <c r="O97" t="s">
        <v>426</v>
      </c>
      <c r="P97" s="17">
        <f>K94</f>
        <v>194.88994000000002</v>
      </c>
      <c r="Q97" s="17">
        <f t="shared" ref="Q97:Q101" si="21">K100</f>
        <v>1779.77367</v>
      </c>
    </row>
    <row r="98" spans="3:17" x14ac:dyDescent="0.25">
      <c r="C98">
        <v>2018</v>
      </c>
      <c r="D98" t="s">
        <v>187</v>
      </c>
      <c r="E98" t="s">
        <v>327</v>
      </c>
      <c r="F98" t="s">
        <v>328</v>
      </c>
      <c r="G98">
        <v>0.3</v>
      </c>
      <c r="H98">
        <v>24</v>
      </c>
      <c r="I98">
        <v>5</v>
      </c>
      <c r="J98">
        <v>0.33</v>
      </c>
      <c r="K98" s="98">
        <f t="shared" si="20"/>
        <v>349.81178999999997</v>
      </c>
      <c r="O98" t="s">
        <v>427</v>
      </c>
      <c r="P98" s="17">
        <f t="shared" ref="P98:P101" si="22">K95</f>
        <v>2697.1967399999999</v>
      </c>
      <c r="Q98" s="17">
        <f t="shared" si="21"/>
        <v>15215.319720000001</v>
      </c>
    </row>
    <row r="99" spans="3:17" x14ac:dyDescent="0.25">
      <c r="C99">
        <v>2018</v>
      </c>
      <c r="E99" t="s">
        <v>327</v>
      </c>
      <c r="F99" t="s">
        <v>328</v>
      </c>
      <c r="G99">
        <v>1.7</v>
      </c>
      <c r="H99">
        <v>24.24</v>
      </c>
      <c r="I99">
        <v>16</v>
      </c>
      <c r="J99">
        <v>1.06</v>
      </c>
      <c r="K99" s="98">
        <f t="shared" si="20"/>
        <v>4701.1298500000003</v>
      </c>
      <c r="O99" t="s">
        <v>428</v>
      </c>
      <c r="P99" s="17">
        <f t="shared" si="22"/>
        <v>994.81432000000007</v>
      </c>
      <c r="Q99" s="17">
        <f t="shared" si="21"/>
        <v>8219.5416000000005</v>
      </c>
    </row>
    <row r="100" spans="3:17" x14ac:dyDescent="0.25">
      <c r="C100">
        <v>2018</v>
      </c>
      <c r="D100" t="s">
        <v>343</v>
      </c>
      <c r="E100" t="s">
        <v>327</v>
      </c>
      <c r="F100" t="s">
        <v>329</v>
      </c>
      <c r="G100">
        <v>0.9</v>
      </c>
      <c r="H100">
        <v>13</v>
      </c>
      <c r="I100">
        <v>11</v>
      </c>
      <c r="J100">
        <v>0</v>
      </c>
      <c r="K100" s="98">
        <f t="shared" ref="K100:K104" si="23">PATH_SITE_BIRM(H100,I100,J100)*G100</f>
        <v>1779.77367</v>
      </c>
      <c r="O100" t="s">
        <v>430</v>
      </c>
      <c r="P100" s="17">
        <f t="shared" si="22"/>
        <v>464.4828</v>
      </c>
      <c r="Q100" s="17">
        <f t="shared" si="21"/>
        <v>5070.2125500000002</v>
      </c>
    </row>
    <row r="101" spans="3:17" x14ac:dyDescent="0.25">
      <c r="C101">
        <v>2018</v>
      </c>
      <c r="D101" t="s">
        <v>214</v>
      </c>
      <c r="E101" t="s">
        <v>327</v>
      </c>
      <c r="F101" t="s">
        <v>329</v>
      </c>
      <c r="G101">
        <v>5.4</v>
      </c>
      <c r="H101">
        <v>34.83</v>
      </c>
      <c r="I101">
        <v>28.17</v>
      </c>
      <c r="J101">
        <v>0.5</v>
      </c>
      <c r="K101" s="98">
        <f t="shared" si="23"/>
        <v>15215.319720000001</v>
      </c>
      <c r="O101" t="s">
        <v>431</v>
      </c>
      <c r="P101" s="17">
        <f t="shared" si="22"/>
        <v>349.81178999999997</v>
      </c>
      <c r="Q101" s="17">
        <f t="shared" si="21"/>
        <v>4851.6645600000002</v>
      </c>
    </row>
    <row r="102" spans="3:17" x14ac:dyDescent="0.25">
      <c r="C102">
        <v>2018</v>
      </c>
      <c r="D102" t="s">
        <v>320</v>
      </c>
      <c r="E102" t="s">
        <v>327</v>
      </c>
      <c r="F102" t="s">
        <v>329</v>
      </c>
      <c r="G102">
        <v>3.6</v>
      </c>
      <c r="H102">
        <v>15.5</v>
      </c>
      <c r="I102">
        <v>13.25</v>
      </c>
      <c r="J102">
        <v>3.5</v>
      </c>
      <c r="K102" s="98">
        <f t="shared" si="23"/>
        <v>8219.5416000000005</v>
      </c>
    </row>
    <row r="103" spans="3:17" x14ac:dyDescent="0.25">
      <c r="C103">
        <v>2018</v>
      </c>
      <c r="D103" t="s">
        <v>319</v>
      </c>
      <c r="E103" t="s">
        <v>327</v>
      </c>
      <c r="F103" t="s">
        <v>329</v>
      </c>
      <c r="G103">
        <v>2.7</v>
      </c>
      <c r="H103">
        <v>18.670000000000002</v>
      </c>
      <c r="I103">
        <v>8</v>
      </c>
      <c r="J103">
        <v>0</v>
      </c>
      <c r="K103" s="98">
        <f t="shared" si="23"/>
        <v>5070.2125500000002</v>
      </c>
    </row>
    <row r="104" spans="3:17" x14ac:dyDescent="0.25">
      <c r="C104">
        <v>2018</v>
      </c>
      <c r="D104" t="s">
        <v>187</v>
      </c>
      <c r="E104" t="s">
        <v>327</v>
      </c>
      <c r="F104" t="s">
        <v>329</v>
      </c>
      <c r="G104">
        <v>2.7</v>
      </c>
      <c r="H104">
        <v>24</v>
      </c>
      <c r="I104">
        <v>5</v>
      </c>
      <c r="J104">
        <v>0.33</v>
      </c>
      <c r="K104" s="98">
        <f t="shared" si="23"/>
        <v>4851.6645600000002</v>
      </c>
    </row>
    <row r="105" spans="3:17" x14ac:dyDescent="0.25">
      <c r="C105">
        <v>2018</v>
      </c>
      <c r="E105" t="s">
        <v>327</v>
      </c>
      <c r="F105" t="s">
        <v>329</v>
      </c>
      <c r="G105">
        <v>15.3</v>
      </c>
      <c r="H105">
        <v>24.24</v>
      </c>
      <c r="I105">
        <v>16</v>
      </c>
      <c r="J105">
        <v>1.06</v>
      </c>
      <c r="K105" s="98">
        <f>PATH_SITE_BIRM(H105,I105,J105)*G105</f>
        <v>34757.801009999996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FDA8-9AA5-4EC3-BF1B-7C3A258E2926}">
  <sheetPr codeName="Sheet8"/>
  <dimension ref="A1:Y39"/>
  <sheetViews>
    <sheetView topLeftCell="B1" zoomScale="85" zoomScaleNormal="85" workbookViewId="0">
      <selection activeCell="AB15" sqref="AB15"/>
    </sheetView>
  </sheetViews>
  <sheetFormatPr defaultRowHeight="15" x14ac:dyDescent="0.25"/>
  <cols>
    <col min="1" max="1" width="16.42578125" customWidth="1"/>
    <col min="2" max="2" width="10.7109375" bestFit="1" customWidth="1"/>
    <col min="3" max="3" width="14.5703125" bestFit="1" customWidth="1"/>
    <col min="4" max="5" width="14" customWidth="1"/>
    <col min="6" max="6" width="12.5703125" bestFit="1" customWidth="1"/>
    <col min="7" max="7" width="12.28515625" customWidth="1"/>
    <col min="8" max="8" width="12.5703125" bestFit="1" customWidth="1"/>
    <col min="9" max="9" width="12.5703125" customWidth="1"/>
    <col min="10" max="10" width="10.5703125" bestFit="1" customWidth="1"/>
    <col min="11" max="13" width="10.140625" bestFit="1" customWidth="1"/>
    <col min="14" max="15" width="10.5703125" bestFit="1" customWidth="1"/>
    <col min="16" max="16" width="10.7109375" bestFit="1" customWidth="1"/>
    <col min="18" max="18" width="11.42578125" bestFit="1" customWidth="1"/>
    <col min="20" max="20" width="4.5703125" customWidth="1"/>
    <col min="21" max="21" width="10.140625" bestFit="1" customWidth="1"/>
  </cols>
  <sheetData>
    <row r="1" spans="1:25" ht="18.75" x14ac:dyDescent="0.3">
      <c r="A1" s="26" t="s">
        <v>370</v>
      </c>
      <c r="C1" s="8" t="s">
        <v>355</v>
      </c>
    </row>
    <row r="2" spans="1:25" x14ac:dyDescent="0.25">
      <c r="C2" s="8" t="s">
        <v>345</v>
      </c>
    </row>
    <row r="4" spans="1:25" x14ac:dyDescent="0.25">
      <c r="Y4" s="77"/>
    </row>
    <row r="5" spans="1:25" x14ac:dyDescent="0.25">
      <c r="B5" s="1" t="s">
        <v>338</v>
      </c>
      <c r="C5" s="28" t="s">
        <v>218</v>
      </c>
      <c r="D5" s="1" t="s">
        <v>339</v>
      </c>
      <c r="E5" s="1" t="s">
        <v>340</v>
      </c>
      <c r="F5" s="1" t="s">
        <v>443</v>
      </c>
      <c r="G5" s="1" t="s">
        <v>341</v>
      </c>
      <c r="H5" s="1" t="s">
        <v>342</v>
      </c>
      <c r="I5" s="1" t="s">
        <v>442</v>
      </c>
      <c r="J5" s="1" t="s">
        <v>220</v>
      </c>
      <c r="Y5" s="77"/>
    </row>
    <row r="6" spans="1:25" x14ac:dyDescent="0.25">
      <c r="A6" s="13" t="s">
        <v>224</v>
      </c>
      <c r="B6">
        <v>0.5</v>
      </c>
      <c r="C6">
        <v>100</v>
      </c>
      <c r="D6">
        <v>0.5</v>
      </c>
      <c r="E6">
        <v>0.5</v>
      </c>
      <c r="F6">
        <v>0.1</v>
      </c>
      <c r="G6" s="124">
        <f>PATH_INVITE_BIRM(C6,D6*C6,E6*D6*C6)</f>
        <v>9317.8575999999994</v>
      </c>
      <c r="H6" s="124">
        <f>PATH_SITE_BIRM(C6,D6*C6,E6*D6*C6)</f>
        <v>5343.9862999999996</v>
      </c>
      <c r="I6" s="124">
        <f>PATH_INFORM(C6)</f>
        <v>411.83155199999993</v>
      </c>
      <c r="J6" s="124">
        <f>F6*I6 + (1-F6)*(G6*B6+(1-B6)*H6)</f>
        <v>6639.0129102000001</v>
      </c>
    </row>
    <row r="7" spans="1:25" x14ac:dyDescent="0.25">
      <c r="A7">
        <v>1</v>
      </c>
      <c r="B7">
        <v>0</v>
      </c>
      <c r="C7">
        <v>100</v>
      </c>
      <c r="D7">
        <v>0.5</v>
      </c>
      <c r="E7">
        <v>0.5</v>
      </c>
      <c r="F7">
        <v>0.1</v>
      </c>
      <c r="G7" s="124">
        <f t="shared" ref="G7:G14" si="0">PATH_INVITE_BIRM(C7,D7*C7,E7*D7*C7)</f>
        <v>9317.8575999999994</v>
      </c>
      <c r="H7" s="124">
        <f t="shared" ref="H7:H14" si="1">PATH_SITE_BIRM(C7,D7*C7,E7*D7*C7)</f>
        <v>5343.9862999999996</v>
      </c>
      <c r="I7" s="124">
        <f t="shared" ref="I7:I14" si="2">PATH_INFORM(C7)</f>
        <v>411.83155199999993</v>
      </c>
      <c r="J7" s="124">
        <f t="shared" ref="J7:J16" si="3">F7*I7 + (1-F7)*(G7*B7+(1-B7)*H7)</f>
        <v>4850.7708252000002</v>
      </c>
    </row>
    <row r="8" spans="1:25" x14ac:dyDescent="0.25">
      <c r="A8">
        <v>1</v>
      </c>
      <c r="B8">
        <v>1</v>
      </c>
      <c r="C8">
        <v>100</v>
      </c>
      <c r="D8">
        <v>0.5</v>
      </c>
      <c r="E8">
        <v>0.5</v>
      </c>
      <c r="F8">
        <v>0.1</v>
      </c>
      <c r="G8" s="124">
        <f t="shared" si="0"/>
        <v>9317.8575999999994</v>
      </c>
      <c r="H8" s="124">
        <f t="shared" si="1"/>
        <v>5343.9862999999996</v>
      </c>
      <c r="I8" s="124">
        <f t="shared" si="2"/>
        <v>411.83155199999993</v>
      </c>
      <c r="J8" s="124">
        <f t="shared" si="3"/>
        <v>8427.2549952000008</v>
      </c>
    </row>
    <row r="9" spans="1:25" x14ac:dyDescent="0.25">
      <c r="A9">
        <v>2</v>
      </c>
      <c r="B9">
        <v>0.5</v>
      </c>
      <c r="C9">
        <v>10</v>
      </c>
      <c r="D9">
        <v>0.5</v>
      </c>
      <c r="E9">
        <v>0.5</v>
      </c>
      <c r="F9">
        <v>0.1</v>
      </c>
      <c r="G9" s="124">
        <f t="shared" si="0"/>
        <v>1238.4960000000001</v>
      </c>
      <c r="H9" s="124">
        <f t="shared" si="1"/>
        <v>1883.3469</v>
      </c>
      <c r="I9" s="124">
        <f t="shared" si="2"/>
        <v>41.183155200000002</v>
      </c>
      <c r="J9" s="124">
        <f t="shared" si="3"/>
        <v>1408.9476205199999</v>
      </c>
    </row>
    <row r="10" spans="1:25" x14ac:dyDescent="0.25">
      <c r="A10">
        <v>2</v>
      </c>
      <c r="B10">
        <v>0.5</v>
      </c>
      <c r="C10">
        <v>1000</v>
      </c>
      <c r="D10">
        <v>0.5</v>
      </c>
      <c r="E10">
        <v>0.5</v>
      </c>
      <c r="F10">
        <v>0.1</v>
      </c>
      <c r="G10" s="124">
        <f>PATH_INVITE_BIRM(C10,D10*C10,E10*D10*C10)</f>
        <v>90111.472699999998</v>
      </c>
      <c r="H10" s="124">
        <f t="shared" si="1"/>
        <v>43568.588900000002</v>
      </c>
      <c r="I10" s="124">
        <f t="shared" si="2"/>
        <v>4118.3155199999992</v>
      </c>
      <c r="J10" s="124">
        <f t="shared" si="3"/>
        <v>60567.859272000009</v>
      </c>
    </row>
    <row r="11" spans="1:25" x14ac:dyDescent="0.25">
      <c r="A11">
        <v>3</v>
      </c>
      <c r="B11">
        <v>0.5</v>
      </c>
      <c r="C11">
        <v>100</v>
      </c>
      <c r="D11">
        <v>0.1</v>
      </c>
      <c r="E11">
        <v>0.5</v>
      </c>
      <c r="F11">
        <v>0.1</v>
      </c>
      <c r="G11" s="124">
        <f t="shared" si="0"/>
        <v>2465.6680999999999</v>
      </c>
      <c r="H11" s="124">
        <f t="shared" si="1"/>
        <v>2509.6408000000001</v>
      </c>
      <c r="I11" s="124">
        <f t="shared" si="2"/>
        <v>411.83155199999993</v>
      </c>
      <c r="J11" s="124">
        <f t="shared" si="3"/>
        <v>2280.0721601999999</v>
      </c>
    </row>
    <row r="12" spans="1:25" x14ac:dyDescent="0.25">
      <c r="A12">
        <v>3</v>
      </c>
      <c r="B12">
        <v>0.5</v>
      </c>
      <c r="C12">
        <v>100</v>
      </c>
      <c r="D12">
        <v>1</v>
      </c>
      <c r="E12">
        <v>0.5</v>
      </c>
      <c r="F12">
        <v>0.1</v>
      </c>
      <c r="G12" s="124">
        <f t="shared" si="0"/>
        <v>17883.094400000002</v>
      </c>
      <c r="H12" s="124">
        <f t="shared" si="1"/>
        <v>8798.9830999999995</v>
      </c>
      <c r="I12" s="124">
        <f t="shared" si="2"/>
        <v>411.83155199999993</v>
      </c>
      <c r="J12" s="124">
        <f t="shared" si="3"/>
        <v>12048.118030200001</v>
      </c>
    </row>
    <row r="13" spans="1:25" x14ac:dyDescent="0.25">
      <c r="A13">
        <v>4</v>
      </c>
      <c r="B13">
        <v>0.5</v>
      </c>
      <c r="C13">
        <v>100</v>
      </c>
      <c r="D13">
        <v>0.5</v>
      </c>
      <c r="E13">
        <v>0</v>
      </c>
      <c r="F13">
        <v>0.1</v>
      </c>
      <c r="G13" s="124">
        <f t="shared" si="0"/>
        <v>7818.8576000000003</v>
      </c>
      <c r="H13" s="124">
        <f t="shared" si="1"/>
        <v>3844.9863</v>
      </c>
      <c r="I13" s="124">
        <f t="shared" si="2"/>
        <v>411.83155199999993</v>
      </c>
      <c r="J13" s="124">
        <f t="shared" si="3"/>
        <v>5289.9129102000006</v>
      </c>
    </row>
    <row r="14" spans="1:25" x14ac:dyDescent="0.25">
      <c r="A14">
        <v>4</v>
      </c>
      <c r="B14">
        <v>0.5</v>
      </c>
      <c r="C14">
        <v>100</v>
      </c>
      <c r="D14">
        <v>0.5</v>
      </c>
      <c r="E14">
        <v>1</v>
      </c>
      <c r="F14">
        <v>0.1</v>
      </c>
      <c r="G14" s="124">
        <f t="shared" si="0"/>
        <v>10816.857599999999</v>
      </c>
      <c r="H14" s="124">
        <f t="shared" si="1"/>
        <v>6842.9862999999996</v>
      </c>
      <c r="I14" s="124">
        <f t="shared" si="2"/>
        <v>411.83155199999993</v>
      </c>
      <c r="J14" s="124">
        <f t="shared" si="3"/>
        <v>7988.1129102000004</v>
      </c>
    </row>
    <row r="15" spans="1:25" x14ac:dyDescent="0.25">
      <c r="A15">
        <v>5</v>
      </c>
      <c r="B15">
        <v>0.5</v>
      </c>
      <c r="C15">
        <v>100</v>
      </c>
      <c r="D15">
        <v>0.5</v>
      </c>
      <c r="E15">
        <v>1</v>
      </c>
      <c r="F15">
        <v>0</v>
      </c>
      <c r="G15" s="124">
        <f t="shared" ref="G15:G16" si="4">PATH_INVITE_BIRM(C15,D15*C15,E15*D15*C15)</f>
        <v>10816.857599999999</v>
      </c>
      <c r="H15" s="124">
        <f t="shared" ref="H15:H16" si="5">PATH_SITE_BIRM(C15,D15*C15,E15*D15*C15)</f>
        <v>6842.9862999999996</v>
      </c>
      <c r="I15" s="124">
        <f t="shared" ref="I15:I16" si="6">PATH_INFORM(C15)</f>
        <v>411.83155199999993</v>
      </c>
      <c r="J15" s="124">
        <f t="shared" si="3"/>
        <v>8829.9219499999999</v>
      </c>
    </row>
    <row r="16" spans="1:25" x14ac:dyDescent="0.25">
      <c r="A16">
        <v>5</v>
      </c>
      <c r="B16">
        <v>0.5</v>
      </c>
      <c r="C16">
        <v>100</v>
      </c>
      <c r="D16">
        <v>0.5</v>
      </c>
      <c r="E16">
        <v>1</v>
      </c>
      <c r="F16">
        <v>1</v>
      </c>
      <c r="G16" s="124">
        <f t="shared" si="4"/>
        <v>10816.857599999999</v>
      </c>
      <c r="H16" s="124">
        <f t="shared" si="5"/>
        <v>6842.9862999999996</v>
      </c>
      <c r="I16" s="124">
        <f t="shared" si="6"/>
        <v>411.83155199999993</v>
      </c>
      <c r="J16" s="124">
        <f t="shared" si="3"/>
        <v>411.83155199999993</v>
      </c>
    </row>
    <row r="19" spans="1:7" x14ac:dyDescent="0.25">
      <c r="C19" s="8" t="s">
        <v>225</v>
      </c>
    </row>
    <row r="20" spans="1:7" x14ac:dyDescent="0.25">
      <c r="A20" s="13" t="s">
        <v>413</v>
      </c>
    </row>
    <row r="21" spans="1:7" x14ac:dyDescent="0.25">
      <c r="B21" s="28"/>
      <c r="C21" s="84" t="s">
        <v>445</v>
      </c>
      <c r="D21" s="84" t="s">
        <v>356</v>
      </c>
      <c r="E21" s="84" t="s">
        <v>357</v>
      </c>
      <c r="F21" s="84" t="s">
        <v>358</v>
      </c>
      <c r="G21" s="84" t="s">
        <v>444</v>
      </c>
    </row>
    <row r="22" spans="1:7" x14ac:dyDescent="0.25">
      <c r="B22" s="85" t="s">
        <v>222</v>
      </c>
      <c r="C22" s="104">
        <f>B7</f>
        <v>0</v>
      </c>
      <c r="D22" s="104">
        <f>C9</f>
        <v>10</v>
      </c>
      <c r="E22" s="104">
        <f>D11</f>
        <v>0.1</v>
      </c>
      <c r="F22" s="104">
        <f>E13</f>
        <v>0</v>
      </c>
      <c r="G22" s="104">
        <f>F15</f>
        <v>0</v>
      </c>
    </row>
    <row r="23" spans="1:7" x14ac:dyDescent="0.25">
      <c r="B23" s="85" t="s">
        <v>223</v>
      </c>
      <c r="C23" s="104">
        <f>B8</f>
        <v>1</v>
      </c>
      <c r="D23" s="104">
        <f>C10</f>
        <v>1000</v>
      </c>
      <c r="E23" s="104">
        <f>D12</f>
        <v>1</v>
      </c>
      <c r="F23" s="104">
        <f>E14</f>
        <v>1</v>
      </c>
      <c r="G23" s="104">
        <f>F16</f>
        <v>1</v>
      </c>
    </row>
    <row r="24" spans="1:7" x14ac:dyDescent="0.25">
      <c r="B24" s="85"/>
      <c r="C24" s="125">
        <f>J7</f>
        <v>4850.7708252000002</v>
      </c>
      <c r="D24" s="125">
        <f>J9</f>
        <v>1408.9476205199999</v>
      </c>
      <c r="E24" s="125">
        <f>J11</f>
        <v>2280.0721601999999</v>
      </c>
      <c r="F24" s="125">
        <f>J13</f>
        <v>5289.9129102000006</v>
      </c>
      <c r="G24" s="125">
        <f>J16</f>
        <v>411.83155199999993</v>
      </c>
    </row>
    <row r="25" spans="1:7" x14ac:dyDescent="0.25">
      <c r="B25" s="85" t="s">
        <v>224</v>
      </c>
      <c r="C25" s="125">
        <f>$J$6</f>
        <v>6639.0129102000001</v>
      </c>
      <c r="D25" s="125">
        <f>$J$6</f>
        <v>6639.0129102000001</v>
      </c>
      <c r="E25" s="125">
        <f>$J$6</f>
        <v>6639.0129102000001</v>
      </c>
      <c r="F25" s="125">
        <f>$J$6</f>
        <v>6639.0129102000001</v>
      </c>
      <c r="G25" s="125">
        <f>$J$6</f>
        <v>6639.0129102000001</v>
      </c>
    </row>
    <row r="26" spans="1:7" x14ac:dyDescent="0.25">
      <c r="B26" s="85" t="s">
        <v>72</v>
      </c>
      <c r="C26" s="125">
        <f>J8</f>
        <v>8427.2549952000008</v>
      </c>
      <c r="D26" s="125">
        <f>J10</f>
        <v>60567.859272000009</v>
      </c>
      <c r="E26" s="125">
        <f>J12</f>
        <v>12048.118030200001</v>
      </c>
      <c r="F26" s="125">
        <f>J14</f>
        <v>7988.1129102000004</v>
      </c>
      <c r="G26" s="125">
        <f>J15</f>
        <v>8829.9219499999999</v>
      </c>
    </row>
    <row r="27" spans="1:7" x14ac:dyDescent="0.25">
      <c r="A27" s="85" t="s">
        <v>226</v>
      </c>
      <c r="B27" s="85" t="s">
        <v>359</v>
      </c>
      <c r="C27" s="125">
        <f>C25-C24</f>
        <v>1788.2420849999999</v>
      </c>
      <c r="D27" s="125">
        <f t="shared" ref="D27:G27" si="7">D25-D24</f>
        <v>5230.0652896800002</v>
      </c>
      <c r="E27" s="125">
        <f t="shared" si="7"/>
        <v>4358.9407499999998</v>
      </c>
      <c r="F27" s="125">
        <f t="shared" si="7"/>
        <v>1349.0999999999995</v>
      </c>
      <c r="G27" s="125">
        <f t="shared" si="7"/>
        <v>6227.1813582000004</v>
      </c>
    </row>
    <row r="28" spans="1:7" x14ac:dyDescent="0.25">
      <c r="A28" s="85" t="s">
        <v>227</v>
      </c>
      <c r="B28" s="85" t="s">
        <v>360</v>
      </c>
      <c r="C28" s="125">
        <f>C26-C25</f>
        <v>1788.2420850000008</v>
      </c>
      <c r="D28" s="125">
        <f t="shared" ref="D28:G28" si="8">D26-D25</f>
        <v>53928.84636180001</v>
      </c>
      <c r="E28" s="125">
        <f t="shared" si="8"/>
        <v>5409.1051200000011</v>
      </c>
      <c r="F28" s="125">
        <f t="shared" si="8"/>
        <v>1349.1000000000004</v>
      </c>
      <c r="G28" s="125">
        <f t="shared" si="8"/>
        <v>2190.9090397999998</v>
      </c>
    </row>
    <row r="31" spans="1:7" x14ac:dyDescent="0.25">
      <c r="A31" t="s">
        <v>378</v>
      </c>
    </row>
    <row r="32" spans="1:7" x14ac:dyDescent="0.25">
      <c r="C32" t="s">
        <v>376</v>
      </c>
      <c r="D32" t="s">
        <v>377</v>
      </c>
    </row>
    <row r="33" spans="3:12" x14ac:dyDescent="0.25">
      <c r="C33">
        <f>J6</f>
        <v>6639.0129102000001</v>
      </c>
      <c r="D33">
        <v>0</v>
      </c>
      <c r="L33" s="17"/>
    </row>
    <row r="34" spans="3:12" x14ac:dyDescent="0.25">
      <c r="C34">
        <f>J6</f>
        <v>6639.0129102000001</v>
      </c>
      <c r="D34">
        <v>1</v>
      </c>
      <c r="L34" s="17"/>
    </row>
    <row r="35" spans="3:12" x14ac:dyDescent="0.25">
      <c r="L35" s="17"/>
    </row>
    <row r="36" spans="3:12" x14ac:dyDescent="0.25">
      <c r="L36" s="17"/>
    </row>
    <row r="37" spans="3:12" x14ac:dyDescent="0.25">
      <c r="L37" s="17"/>
    </row>
    <row r="38" spans="3:12" x14ac:dyDescent="0.25">
      <c r="L38" s="17"/>
    </row>
    <row r="39" spans="3:12" x14ac:dyDescent="0.25">
      <c r="L39" s="17"/>
    </row>
  </sheetData>
  <sortState xmlns:xlrd2="http://schemas.microsoft.com/office/spreadsheetml/2017/richdata2" ref="B7:B14">
    <sortCondition ref="B7:B14"/>
  </sortState>
  <hyperlinks>
    <hyperlink ref="C1" r:id="rId1" xr:uid="{BC60BE22-5B46-4EE2-851C-F3B26638ECCF}"/>
    <hyperlink ref="C2" r:id="rId2" display="https://mbounthavong.com/blog/2018/5/26/communicating-data-effectively-with-data-visualizations-tornado-diagram" xr:uid="{13BD484B-CF7E-4591-8B42-831814F4C8FF}"/>
    <hyperlink ref="C19" r:id="rId3" xr:uid="{20395E28-42AE-435A-8F40-6891473B3647}"/>
  </hyperlinks>
  <pageMargins left="0.7" right="0.7" top="0.75" bottom="0.75" header="0.3" footer="0.3"/>
  <pageSetup paperSize="9" orientation="portrait" r:id="rId4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1C9DC-9257-4FCC-B8F2-4ADBE4D03C14}">
  <sheetPr codeName="Sheet12">
    <tabColor rgb="FFC00000"/>
  </sheetPr>
  <dimension ref="A1:F19"/>
  <sheetViews>
    <sheetView workbookViewId="0"/>
  </sheetViews>
  <sheetFormatPr defaultRowHeight="15" x14ac:dyDescent="0.25"/>
  <cols>
    <col min="1" max="1" width="10.28515625" customWidth="1"/>
    <col min="2" max="2" width="25.5703125" bestFit="1" customWidth="1"/>
    <col min="3" max="3" width="22.5703125" customWidth="1"/>
    <col min="4" max="4" width="10.5703125" customWidth="1"/>
    <col min="5" max="5" width="20.140625" customWidth="1"/>
    <col min="18" max="18" width="9.85546875" customWidth="1"/>
  </cols>
  <sheetData>
    <row r="1" spans="1:6" x14ac:dyDescent="0.25">
      <c r="A1" s="1" t="s">
        <v>75</v>
      </c>
    </row>
    <row r="2" spans="1:6" x14ac:dyDescent="0.25">
      <c r="A2" s="30" t="s">
        <v>65</v>
      </c>
    </row>
    <row r="3" spans="1:6" ht="15.75" thickBot="1" x14ac:dyDescent="0.3"/>
    <row r="4" spans="1:6" ht="14.25" customHeight="1" x14ac:dyDescent="0.25">
      <c r="B4" s="60" t="s">
        <v>346</v>
      </c>
      <c r="C4" s="61" t="s">
        <v>101</v>
      </c>
      <c r="D4" s="61" t="s">
        <v>49</v>
      </c>
      <c r="E4" s="61" t="s">
        <v>102</v>
      </c>
      <c r="F4" s="62" t="s">
        <v>64</v>
      </c>
    </row>
    <row r="5" spans="1:6" ht="30" x14ac:dyDescent="0.25">
      <c r="B5" s="63" t="s">
        <v>347</v>
      </c>
      <c r="C5" s="64" t="s">
        <v>71</v>
      </c>
      <c r="D5" s="64">
        <v>2</v>
      </c>
      <c r="E5" s="64">
        <v>0.9</v>
      </c>
      <c r="F5" s="18" t="s">
        <v>54</v>
      </c>
    </row>
    <row r="6" spans="1:6" x14ac:dyDescent="0.25">
      <c r="B6" s="63" t="s">
        <v>50</v>
      </c>
      <c r="C6" s="64" t="s">
        <v>67</v>
      </c>
      <c r="D6" s="64">
        <v>1</v>
      </c>
      <c r="E6" s="64">
        <v>3.9E-2</v>
      </c>
      <c r="F6" s="18" t="s">
        <v>54</v>
      </c>
    </row>
    <row r="7" spans="1:6" x14ac:dyDescent="0.25">
      <c r="B7" s="65" t="s">
        <v>52</v>
      </c>
      <c r="C7" s="64" t="s">
        <v>68</v>
      </c>
      <c r="D7" s="64">
        <v>6</v>
      </c>
      <c r="E7" s="64">
        <v>4.6399999999999997</v>
      </c>
      <c r="F7" s="18" t="s">
        <v>53</v>
      </c>
    </row>
    <row r="8" spans="1:6" x14ac:dyDescent="0.25">
      <c r="B8" s="63" t="s">
        <v>51</v>
      </c>
      <c r="C8" s="64" t="s">
        <v>69</v>
      </c>
      <c r="D8" s="64">
        <v>9</v>
      </c>
      <c r="E8" s="64">
        <v>6.18</v>
      </c>
      <c r="F8" s="18" t="s">
        <v>53</v>
      </c>
    </row>
    <row r="9" spans="1:6" ht="15.75" thickBot="1" x14ac:dyDescent="0.3">
      <c r="B9" s="66" t="s">
        <v>50</v>
      </c>
      <c r="C9" s="67" t="s">
        <v>70</v>
      </c>
      <c r="D9" s="67">
        <v>1</v>
      </c>
      <c r="E9" s="67">
        <v>0.43</v>
      </c>
      <c r="F9" s="19" t="s">
        <v>53</v>
      </c>
    </row>
    <row r="12" spans="1:6" x14ac:dyDescent="0.25">
      <c r="B12" s="1" t="s">
        <v>130</v>
      </c>
      <c r="C12" s="53" t="s">
        <v>361</v>
      </c>
      <c r="D12" s="53" t="s">
        <v>140</v>
      </c>
      <c r="E12" s="1" t="s">
        <v>135</v>
      </c>
      <c r="F12" s="1" t="s">
        <v>238</v>
      </c>
    </row>
    <row r="13" spans="1:6" x14ac:dyDescent="0.25">
      <c r="B13" t="s">
        <v>241</v>
      </c>
      <c r="C13" s="34" t="s">
        <v>142</v>
      </c>
      <c r="D13" s="89">
        <f>D18</f>
        <v>852</v>
      </c>
      <c r="E13" t="str">
        <f>E18</f>
        <v>Cavany (2018) Thorax</v>
      </c>
    </row>
    <row r="15" spans="1:6" x14ac:dyDescent="0.25">
      <c r="A15" t="s">
        <v>244</v>
      </c>
    </row>
    <row r="16" spans="1:6" x14ac:dyDescent="0.25">
      <c r="B16" s="1" t="s">
        <v>130</v>
      </c>
      <c r="C16" s="1" t="s">
        <v>361</v>
      </c>
      <c r="D16" s="1" t="s">
        <v>140</v>
      </c>
      <c r="E16" s="1" t="s">
        <v>135</v>
      </c>
      <c r="F16" s="1" t="s">
        <v>238</v>
      </c>
    </row>
    <row r="17" spans="2:6" x14ac:dyDescent="0.25">
      <c r="B17" t="s">
        <v>143</v>
      </c>
      <c r="D17" s="16">
        <v>5329</v>
      </c>
      <c r="E17" t="s">
        <v>240</v>
      </c>
      <c r="F17" t="s">
        <v>348</v>
      </c>
    </row>
    <row r="18" spans="2:6" x14ac:dyDescent="0.25">
      <c r="B18" t="s">
        <v>243</v>
      </c>
      <c r="D18" s="16">
        <v>852</v>
      </c>
      <c r="E18" t="s">
        <v>239</v>
      </c>
      <c r="F18" t="s">
        <v>245</v>
      </c>
    </row>
    <row r="19" spans="2:6" x14ac:dyDescent="0.25">
      <c r="B19" t="s">
        <v>242</v>
      </c>
      <c r="D19" s="16">
        <v>1694</v>
      </c>
      <c r="E19" t="s">
        <v>239</v>
      </c>
      <c r="F19" t="s">
        <v>245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7EBCC-9EEA-42BE-86A2-D6ED7E0BA243}">
  <sheetPr codeName="Sheet13">
    <tabColor rgb="FFC00000"/>
  </sheetPr>
  <dimension ref="A1:F23"/>
  <sheetViews>
    <sheetView workbookViewId="0">
      <selection activeCell="F26" sqref="F26"/>
    </sheetView>
  </sheetViews>
  <sheetFormatPr defaultRowHeight="15" x14ac:dyDescent="0.25"/>
  <cols>
    <col min="3" max="3" width="40.7109375" bestFit="1" customWidth="1"/>
    <col min="4" max="4" width="12.5703125" bestFit="1" customWidth="1"/>
    <col min="6" max="6" width="70" bestFit="1" customWidth="1"/>
  </cols>
  <sheetData>
    <row r="1" spans="1:6" ht="15.75" x14ac:dyDescent="0.25">
      <c r="A1" s="39" t="s">
        <v>98</v>
      </c>
    </row>
    <row r="3" spans="1:6" x14ac:dyDescent="0.25">
      <c r="A3" s="8" t="s">
        <v>87</v>
      </c>
    </row>
    <row r="4" spans="1:6" x14ac:dyDescent="0.25">
      <c r="A4" t="s">
        <v>90</v>
      </c>
    </row>
    <row r="6" spans="1:6" x14ac:dyDescent="0.25">
      <c r="A6" s="58" t="s">
        <v>91</v>
      </c>
    </row>
    <row r="7" spans="1:6" x14ac:dyDescent="0.25">
      <c r="A7" s="37"/>
      <c r="C7" s="1" t="s">
        <v>130</v>
      </c>
      <c r="D7" s="1" t="s">
        <v>344</v>
      </c>
      <c r="E7" s="1" t="s">
        <v>140</v>
      </c>
      <c r="F7" s="1" t="s">
        <v>135</v>
      </c>
    </row>
    <row r="8" spans="1:6" x14ac:dyDescent="0.25">
      <c r="C8" t="s">
        <v>148</v>
      </c>
      <c r="D8" s="34" t="s">
        <v>167</v>
      </c>
      <c r="E8" s="38">
        <v>0.20599999999999999</v>
      </c>
    </row>
    <row r="9" spans="1:6" x14ac:dyDescent="0.25">
      <c r="C9" t="s">
        <v>149</v>
      </c>
      <c r="D9" s="34" t="s">
        <v>166</v>
      </c>
      <c r="E9" s="38">
        <v>0.14299999999999999</v>
      </c>
    </row>
    <row r="10" spans="1:6" x14ac:dyDescent="0.25">
      <c r="C10" t="s">
        <v>118</v>
      </c>
      <c r="D10" s="34" t="s">
        <v>168</v>
      </c>
      <c r="E10" s="38">
        <v>8.0000000000000004E-4</v>
      </c>
    </row>
    <row r="11" spans="1:6" x14ac:dyDescent="0.25">
      <c r="D11" s="34"/>
    </row>
    <row r="12" spans="1:6" x14ac:dyDescent="0.25">
      <c r="C12" t="s">
        <v>349</v>
      </c>
      <c r="D12" s="34" t="s">
        <v>150</v>
      </c>
      <c r="E12" s="38">
        <v>0.13800000000000001</v>
      </c>
      <c r="F12" s="8" t="s">
        <v>350</v>
      </c>
    </row>
    <row r="13" spans="1:6" x14ac:dyDescent="0.25">
      <c r="C13" t="s">
        <v>174</v>
      </c>
      <c r="D13" s="34" t="s">
        <v>337</v>
      </c>
      <c r="E13" s="38">
        <f>p_pension18+p_admin+p_NI</f>
        <v>0.3448</v>
      </c>
      <c r="F13" s="8"/>
    </row>
    <row r="14" spans="1:6" x14ac:dyDescent="0.25">
      <c r="D14" s="34"/>
      <c r="E14" s="38"/>
      <c r="F14" s="8"/>
    </row>
    <row r="15" spans="1:6" x14ac:dyDescent="0.25">
      <c r="A15" s="51" t="s">
        <v>117</v>
      </c>
      <c r="D15" s="34"/>
      <c r="E15" s="13"/>
    </row>
    <row r="16" spans="1:6" x14ac:dyDescent="0.25">
      <c r="C16" t="s">
        <v>151</v>
      </c>
      <c r="D16" s="34" t="s">
        <v>157</v>
      </c>
      <c r="E16">
        <v>253</v>
      </c>
      <c r="F16" s="8" t="s">
        <v>115</v>
      </c>
    </row>
    <row r="17" spans="3:6" x14ac:dyDescent="0.25">
      <c r="C17" t="s">
        <v>152</v>
      </c>
      <c r="D17" s="34" t="s">
        <v>158</v>
      </c>
      <c r="E17">
        <v>8</v>
      </c>
    </row>
    <row r="18" spans="3:6" x14ac:dyDescent="0.25">
      <c r="C18" s="43" t="s">
        <v>153</v>
      </c>
      <c r="D18" s="34" t="s">
        <v>159</v>
      </c>
      <c r="E18">
        <v>27</v>
      </c>
      <c r="F18" t="s">
        <v>116</v>
      </c>
    </row>
    <row r="19" spans="3:6" x14ac:dyDescent="0.25">
      <c r="C19" s="43" t="s">
        <v>154</v>
      </c>
      <c r="D19" s="34" t="s">
        <v>160</v>
      </c>
      <c r="E19">
        <v>29</v>
      </c>
    </row>
    <row r="20" spans="3:6" x14ac:dyDescent="0.25">
      <c r="C20" s="43" t="s">
        <v>155</v>
      </c>
      <c r="D20" s="34" t="s">
        <v>161</v>
      </c>
      <c r="E20">
        <v>33</v>
      </c>
    </row>
    <row r="21" spans="3:6" x14ac:dyDescent="0.25">
      <c r="D21" s="34"/>
    </row>
    <row r="22" spans="3:6" x14ac:dyDescent="0.25">
      <c r="C22" s="136" t="s">
        <v>156</v>
      </c>
      <c r="D22" s="137" t="s">
        <v>162</v>
      </c>
      <c r="E22" s="83">
        <f>E16-E19</f>
        <v>224</v>
      </c>
    </row>
    <row r="23" spans="3:6" x14ac:dyDescent="0.25">
      <c r="C23" s="43" t="s">
        <v>449</v>
      </c>
      <c r="D23" s="34" t="s">
        <v>450</v>
      </c>
      <c r="E23">
        <v>1815</v>
      </c>
      <c r="F23" t="s">
        <v>451</v>
      </c>
    </row>
  </sheetData>
  <hyperlinks>
    <hyperlink ref="A3" r:id="rId1" xr:uid="{4E420B85-77E1-48FB-B0AD-E211B17A7E09}"/>
    <hyperlink ref="F12" r:id="rId2" display="https://www.gov.uk/national-insurance-rates-letters" xr:uid="{20763E9E-3F68-4E84-8F99-3AEBCBFF284A}"/>
    <hyperlink ref="F16" r:id="rId3" xr:uid="{CEE2A5AB-0581-4F63-922A-719F0540C91E}"/>
  </hyperlinks>
  <pageMargins left="0.7" right="0.7" top="0.75" bottom="0.75" header="0.3" footer="0.3"/>
  <pageSetup paperSize="9" orientation="portrait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18BE1-5EED-45A7-8520-FF29BA4A2998}">
  <sheetPr codeName="Sheet14">
    <tabColor rgb="FFC00000"/>
  </sheetPr>
  <dimension ref="A1:G36"/>
  <sheetViews>
    <sheetView zoomScale="85" zoomScaleNormal="85" workbookViewId="0">
      <selection activeCell="E39" sqref="E39"/>
    </sheetView>
  </sheetViews>
  <sheetFormatPr defaultRowHeight="15" x14ac:dyDescent="0.25"/>
  <cols>
    <col min="1" max="1" width="22.140625" customWidth="1"/>
    <col min="2" max="2" width="53.85546875" bestFit="1" customWidth="1"/>
    <col min="3" max="3" width="14.5703125" bestFit="1" customWidth="1"/>
    <col min="4" max="4" width="15.28515625" bestFit="1" customWidth="1"/>
    <col min="6" max="6" width="30" bestFit="1" customWidth="1"/>
    <col min="7" max="7" width="25.42578125" customWidth="1"/>
  </cols>
  <sheetData>
    <row r="1" spans="1:7" ht="15.75" x14ac:dyDescent="0.25">
      <c r="A1" s="39" t="s">
        <v>103</v>
      </c>
    </row>
    <row r="3" spans="1:7" x14ac:dyDescent="0.25">
      <c r="B3" s="1" t="s">
        <v>130</v>
      </c>
      <c r="C3" s="1" t="s">
        <v>344</v>
      </c>
      <c r="D3" s="52" t="s">
        <v>139</v>
      </c>
      <c r="E3" s="1" t="s">
        <v>136</v>
      </c>
      <c r="F3" s="1" t="s">
        <v>135</v>
      </c>
      <c r="G3" s="1" t="s">
        <v>238</v>
      </c>
    </row>
    <row r="4" spans="1:7" x14ac:dyDescent="0.25">
      <c r="A4" s="51" t="s">
        <v>351</v>
      </c>
      <c r="C4" s="34"/>
      <c r="D4" s="15"/>
    </row>
    <row r="5" spans="1:7" x14ac:dyDescent="0.25">
      <c r="B5" t="s">
        <v>137</v>
      </c>
      <c r="C5" s="34" t="s">
        <v>132</v>
      </c>
      <c r="D5" s="17">
        <v>220</v>
      </c>
      <c r="F5" t="s">
        <v>86</v>
      </c>
    </row>
    <row r="6" spans="1:7" x14ac:dyDescent="0.25">
      <c r="A6" s="51" t="s">
        <v>84</v>
      </c>
      <c r="C6" s="34"/>
    </row>
    <row r="7" spans="1:7" x14ac:dyDescent="0.25">
      <c r="B7" t="s">
        <v>248</v>
      </c>
      <c r="C7" s="34" t="s">
        <v>131</v>
      </c>
      <c r="D7" s="17">
        <v>76</v>
      </c>
      <c r="F7" t="s">
        <v>247</v>
      </c>
      <c r="G7" t="s">
        <v>246</v>
      </c>
    </row>
    <row r="8" spans="1:7" x14ac:dyDescent="0.25">
      <c r="B8" s="103" t="s">
        <v>299</v>
      </c>
      <c r="C8" s="34" t="s">
        <v>300</v>
      </c>
      <c r="D8">
        <v>0.25</v>
      </c>
      <c r="F8" t="s">
        <v>86</v>
      </c>
    </row>
    <row r="9" spans="1:7" x14ac:dyDescent="0.25">
      <c r="B9" s="102" t="s">
        <v>298</v>
      </c>
      <c r="C9" s="34" t="s">
        <v>301</v>
      </c>
      <c r="D9">
        <v>0.33</v>
      </c>
      <c r="F9" t="s">
        <v>86</v>
      </c>
    </row>
    <row r="10" spans="1:7" x14ac:dyDescent="0.25">
      <c r="B10" s="102" t="s">
        <v>303</v>
      </c>
      <c r="C10" s="34" t="s">
        <v>302</v>
      </c>
      <c r="D10">
        <v>0.25</v>
      </c>
      <c r="F10" t="s">
        <v>86</v>
      </c>
    </row>
    <row r="11" spans="1:7" x14ac:dyDescent="0.25">
      <c r="B11" t="s">
        <v>112</v>
      </c>
      <c r="C11" s="34" t="s">
        <v>133</v>
      </c>
      <c r="D11" t="s">
        <v>83</v>
      </c>
      <c r="F11" t="s">
        <v>86</v>
      </c>
    </row>
    <row r="12" spans="1:7" x14ac:dyDescent="0.25">
      <c r="C12" s="34"/>
    </row>
    <row r="13" spans="1:7" x14ac:dyDescent="0.25">
      <c r="B13" t="s">
        <v>138</v>
      </c>
      <c r="C13" s="34" t="s">
        <v>134</v>
      </c>
      <c r="D13" s="16">
        <v>0.5</v>
      </c>
      <c r="F13" t="s">
        <v>86</v>
      </c>
    </row>
    <row r="14" spans="1:7" x14ac:dyDescent="0.25">
      <c r="C14" s="34"/>
      <c r="D14" s="16"/>
    </row>
    <row r="15" spans="1:7" x14ac:dyDescent="0.25">
      <c r="B15" t="s">
        <v>295</v>
      </c>
      <c r="C15" s="34" t="s">
        <v>203</v>
      </c>
      <c r="D15">
        <v>2</v>
      </c>
      <c r="F15" t="s">
        <v>86</v>
      </c>
    </row>
    <row r="16" spans="1:7" x14ac:dyDescent="0.25">
      <c r="B16" t="s">
        <v>294</v>
      </c>
      <c r="C16" s="34" t="s">
        <v>204</v>
      </c>
      <c r="D16">
        <v>1</v>
      </c>
      <c r="F16" t="s">
        <v>86</v>
      </c>
    </row>
    <row r="17" spans="2:6" x14ac:dyDescent="0.25">
      <c r="B17" t="s">
        <v>418</v>
      </c>
      <c r="C17" s="34" t="s">
        <v>416</v>
      </c>
      <c r="D17">
        <v>0.33</v>
      </c>
      <c r="F17" s="128" t="s">
        <v>417</v>
      </c>
    </row>
    <row r="18" spans="2:6" x14ac:dyDescent="0.25">
      <c r="B18" t="s">
        <v>293</v>
      </c>
      <c r="C18" s="34" t="s">
        <v>205</v>
      </c>
      <c r="D18">
        <v>2</v>
      </c>
      <c r="F18" t="s">
        <v>86</v>
      </c>
    </row>
    <row r="19" spans="2:6" x14ac:dyDescent="0.25">
      <c r="B19" t="s">
        <v>292</v>
      </c>
      <c r="C19" s="34" t="s">
        <v>206</v>
      </c>
      <c r="D19">
        <v>1</v>
      </c>
      <c r="F19" t="s">
        <v>86</v>
      </c>
    </row>
    <row r="20" spans="2:6" x14ac:dyDescent="0.25">
      <c r="B20" t="s">
        <v>291</v>
      </c>
      <c r="C20" s="34" t="s">
        <v>287</v>
      </c>
      <c r="D20">
        <v>0.25</v>
      </c>
      <c r="F20" t="s">
        <v>86</v>
      </c>
    </row>
    <row r="21" spans="2:6" x14ac:dyDescent="0.25">
      <c r="B21" t="s">
        <v>290</v>
      </c>
      <c r="C21" s="34" t="s">
        <v>207</v>
      </c>
      <c r="D21">
        <v>8</v>
      </c>
      <c r="F21" t="s">
        <v>86</v>
      </c>
    </row>
    <row r="23" spans="2:6" x14ac:dyDescent="0.25">
      <c r="B23" t="s">
        <v>211</v>
      </c>
      <c r="C23" s="34" t="s">
        <v>209</v>
      </c>
      <c r="D23">
        <v>20</v>
      </c>
      <c r="F23" t="s">
        <v>86</v>
      </c>
    </row>
    <row r="25" spans="2:6" x14ac:dyDescent="0.25">
      <c r="B25" t="s">
        <v>288</v>
      </c>
      <c r="C25" s="34" t="s">
        <v>236</v>
      </c>
      <c r="D25">
        <v>1</v>
      </c>
      <c r="F25" t="s">
        <v>86</v>
      </c>
    </row>
    <row r="26" spans="2:6" x14ac:dyDescent="0.25">
      <c r="B26" t="s">
        <v>289</v>
      </c>
      <c r="C26" s="34" t="s">
        <v>235</v>
      </c>
      <c r="D26">
        <v>1</v>
      </c>
      <c r="F26" t="s">
        <v>86</v>
      </c>
    </row>
    <row r="28" spans="2:6" x14ac:dyDescent="0.25">
      <c r="B28" t="s">
        <v>281</v>
      </c>
      <c r="C28" s="34" t="s">
        <v>280</v>
      </c>
      <c r="D28">
        <v>100</v>
      </c>
      <c r="F28" t="s">
        <v>86</v>
      </c>
    </row>
    <row r="30" spans="2:6" x14ac:dyDescent="0.25">
      <c r="B30" t="s">
        <v>440</v>
      </c>
      <c r="C30" s="34" t="s">
        <v>321</v>
      </c>
      <c r="D30">
        <v>0.9</v>
      </c>
      <c r="F30" t="s">
        <v>86</v>
      </c>
    </row>
    <row r="32" spans="2:6" x14ac:dyDescent="0.25">
      <c r="B32" s="120" t="s">
        <v>396</v>
      </c>
      <c r="C32" s="34" t="s">
        <v>398</v>
      </c>
      <c r="D32" s="121">
        <v>59.96</v>
      </c>
      <c r="F32" s="120" t="s">
        <v>397</v>
      </c>
    </row>
    <row r="33" spans="2:6" x14ac:dyDescent="0.25">
      <c r="B33" s="120"/>
      <c r="C33" s="121"/>
      <c r="D33" s="120"/>
    </row>
    <row r="34" spans="2:6" x14ac:dyDescent="0.25">
      <c r="B34" t="s">
        <v>420</v>
      </c>
      <c r="C34" t="s">
        <v>419</v>
      </c>
      <c r="D34">
        <v>2</v>
      </c>
      <c r="F34" t="s">
        <v>86</v>
      </c>
    </row>
    <row r="36" spans="2:6" x14ac:dyDescent="0.25">
      <c r="B36" t="s">
        <v>424</v>
      </c>
      <c r="C36" s="34" t="s">
        <v>425</v>
      </c>
      <c r="D36">
        <v>0.85</v>
      </c>
      <c r="F36" t="s">
        <v>86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EC20E-40BF-4171-AB45-C4164CAC2040}">
  <sheetPr codeName="Sheet15">
    <tabColor rgb="FFC00000"/>
  </sheetPr>
  <dimension ref="A1:G8"/>
  <sheetViews>
    <sheetView workbookViewId="0"/>
  </sheetViews>
  <sheetFormatPr defaultRowHeight="15" x14ac:dyDescent="0.25"/>
  <cols>
    <col min="1" max="1" width="11.7109375" bestFit="1" customWidth="1"/>
    <col min="2" max="2" width="5.42578125" customWidth="1"/>
    <col min="3" max="3" width="23" bestFit="1" customWidth="1"/>
    <col min="4" max="4" width="9.5703125" customWidth="1"/>
  </cols>
  <sheetData>
    <row r="1" spans="1:7" ht="15.75" x14ac:dyDescent="0.25">
      <c r="A1" s="39" t="s">
        <v>74</v>
      </c>
    </row>
    <row r="2" spans="1:7" x14ac:dyDescent="0.25">
      <c r="C2" s="1" t="s">
        <v>130</v>
      </c>
      <c r="D2" s="1" t="s">
        <v>344</v>
      </c>
      <c r="E2" s="1" t="s">
        <v>106</v>
      </c>
      <c r="F2" s="1" t="s">
        <v>136</v>
      </c>
      <c r="G2" s="1" t="s">
        <v>135</v>
      </c>
    </row>
    <row r="3" spans="1:7" x14ac:dyDescent="0.25">
      <c r="C3" s="86" t="s">
        <v>60</v>
      </c>
      <c r="D3" s="87" t="s">
        <v>163</v>
      </c>
      <c r="E3" s="88">
        <v>45</v>
      </c>
      <c r="F3" s="83" t="s">
        <v>73</v>
      </c>
      <c r="G3" s="83" t="s">
        <v>85</v>
      </c>
    </row>
    <row r="4" spans="1:7" x14ac:dyDescent="0.25">
      <c r="C4" s="13" t="s">
        <v>164</v>
      </c>
      <c r="D4" s="59" t="s">
        <v>165</v>
      </c>
      <c r="E4" s="6">
        <v>36</v>
      </c>
      <c r="G4" t="s">
        <v>86</v>
      </c>
    </row>
    <row r="5" spans="1:7" x14ac:dyDescent="0.25">
      <c r="C5" s="13" t="s">
        <v>268</v>
      </c>
      <c r="D5" s="59" t="s">
        <v>267</v>
      </c>
      <c r="E5" s="16">
        <v>1.32</v>
      </c>
      <c r="G5" s="43" t="s">
        <v>352</v>
      </c>
    </row>
    <row r="6" spans="1:7" x14ac:dyDescent="0.25">
      <c r="C6" s="13"/>
      <c r="D6" s="13"/>
    </row>
    <row r="7" spans="1:7" x14ac:dyDescent="0.25">
      <c r="C7" s="13"/>
      <c r="D7" s="13"/>
    </row>
    <row r="8" spans="1:7" x14ac:dyDescent="0.25">
      <c r="C8" s="13"/>
      <c r="D8" s="1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79149-0D44-4EEB-B03B-6794E4896CC2}">
  <sheetPr codeName="Sheet16">
    <tabColor rgb="FFC00000"/>
  </sheetPr>
  <dimension ref="A1:J22"/>
  <sheetViews>
    <sheetView workbookViewId="0">
      <selection activeCell="E8" sqref="E8"/>
    </sheetView>
  </sheetViews>
  <sheetFormatPr defaultRowHeight="15" x14ac:dyDescent="0.25"/>
  <cols>
    <col min="1" max="1" width="10" bestFit="1" customWidth="1"/>
    <col min="2" max="2" width="15.28515625" customWidth="1"/>
    <col min="3" max="3" width="11.28515625" customWidth="1"/>
    <col min="4" max="4" width="10.7109375" customWidth="1"/>
    <col min="6" max="6" width="8.85546875" customWidth="1"/>
    <col min="7" max="7" width="14.28515625" customWidth="1"/>
    <col min="8" max="8" width="15.85546875" customWidth="1"/>
    <col min="9" max="9" width="10.42578125" customWidth="1"/>
    <col min="12" max="12" width="14.42578125" customWidth="1"/>
    <col min="13" max="13" width="12.85546875" customWidth="1"/>
    <col min="14" max="14" width="10.85546875" customWidth="1"/>
    <col min="16" max="16" width="8.140625" customWidth="1"/>
    <col min="17" max="17" width="15.42578125" customWidth="1"/>
    <col min="18" max="18" width="14" customWidth="1"/>
    <col min="19" max="19" width="11.140625" customWidth="1"/>
  </cols>
  <sheetData>
    <row r="1" spans="1:10" ht="15.75" x14ac:dyDescent="0.25">
      <c r="A1" s="39" t="s">
        <v>100</v>
      </c>
    </row>
    <row r="4" spans="1:10" x14ac:dyDescent="0.25">
      <c r="B4" s="101" t="s">
        <v>266</v>
      </c>
    </row>
    <row r="5" spans="1:10" x14ac:dyDescent="0.25">
      <c r="B5" s="51" t="s">
        <v>237</v>
      </c>
      <c r="C5" s="32"/>
      <c r="D5" s="32"/>
      <c r="E5" s="32"/>
      <c r="G5" s="51" t="s">
        <v>265</v>
      </c>
    </row>
    <row r="6" spans="1:10" x14ac:dyDescent="0.25">
      <c r="B6" s="35"/>
      <c r="C6" s="35" t="s">
        <v>62</v>
      </c>
      <c r="D6" s="35" t="s">
        <v>63</v>
      </c>
      <c r="E6" s="35" t="s">
        <v>10</v>
      </c>
      <c r="G6" s="29"/>
      <c r="H6" s="35" t="s">
        <v>62</v>
      </c>
      <c r="I6" s="35" t="s">
        <v>63</v>
      </c>
      <c r="J6" s="35" t="s">
        <v>10</v>
      </c>
    </row>
    <row r="7" spans="1:10" x14ac:dyDescent="0.25">
      <c r="I7" s="16"/>
    </row>
    <row r="8" spans="1:10" x14ac:dyDescent="0.25">
      <c r="B8" s="32" t="s">
        <v>249</v>
      </c>
      <c r="C8" s="32">
        <v>1</v>
      </c>
      <c r="D8" s="32">
        <f>t_incid_meet</f>
        <v>1</v>
      </c>
      <c r="E8" s="33">
        <f>D8*C8*c_TBphys_hr_outside</f>
        <v>47.63002754820937</v>
      </c>
      <c r="G8" s="32" t="s">
        <v>249</v>
      </c>
      <c r="H8" s="32">
        <v>1</v>
      </c>
      <c r="I8" s="32">
        <f>t_incid_meet</f>
        <v>1</v>
      </c>
      <c r="J8" s="33">
        <f>I8*H8*c_TBphys_hr_outside</f>
        <v>47.63002754820937</v>
      </c>
    </row>
    <row r="9" spans="1:10" x14ac:dyDescent="0.25">
      <c r="B9" s="32" t="s">
        <v>282</v>
      </c>
      <c r="C9" s="32">
        <v>1</v>
      </c>
      <c r="D9" s="32">
        <v>1</v>
      </c>
      <c r="E9" s="33">
        <f>c_hpp_hr_outside*C9*D9</f>
        <v>21.358126721763085</v>
      </c>
      <c r="G9" s="32" t="s">
        <v>282</v>
      </c>
      <c r="H9" s="32">
        <v>1</v>
      </c>
      <c r="I9" s="32">
        <v>1</v>
      </c>
      <c r="J9" s="33">
        <f>c_hpp_hr_outside*H9*I9</f>
        <v>21.358126721763085</v>
      </c>
    </row>
    <row r="10" spans="1:10" x14ac:dyDescent="0.25">
      <c r="B10" s="32" t="s">
        <v>2</v>
      </c>
      <c r="C10" s="32">
        <v>2</v>
      </c>
      <c r="D10" s="32">
        <f>t_incid_meet</f>
        <v>1</v>
      </c>
      <c r="E10" s="33">
        <f>C10*D10*c_nurse_6_hr_outside</f>
        <v>31.676033057851239</v>
      </c>
      <c r="G10" s="32" t="s">
        <v>2</v>
      </c>
      <c r="H10" s="32">
        <v>2</v>
      </c>
      <c r="I10" s="32">
        <f>t_incid_meet</f>
        <v>1</v>
      </c>
      <c r="J10" s="33">
        <f>H10*I10*c_nurse_6_hr_outside</f>
        <v>31.676033057851239</v>
      </c>
    </row>
    <row r="11" spans="1:10" x14ac:dyDescent="0.25">
      <c r="B11" s="32" t="s">
        <v>250</v>
      </c>
      <c r="C11" s="32">
        <v>1</v>
      </c>
      <c r="D11" s="32">
        <f>t_incid_meet</f>
        <v>1</v>
      </c>
      <c r="E11">
        <f>C11*D11*c_nurse_lead_hr_outside</f>
        <v>23.949862258953168</v>
      </c>
      <c r="G11" s="32" t="s">
        <v>250</v>
      </c>
      <c r="H11" s="32">
        <v>1</v>
      </c>
      <c r="I11" s="32">
        <f>t_incid_meet</f>
        <v>1</v>
      </c>
      <c r="J11">
        <f>H11*I11*c_nurse_lead_hr_outside</f>
        <v>23.949862258953168</v>
      </c>
    </row>
    <row r="12" spans="1:10" x14ac:dyDescent="0.25">
      <c r="B12" s="35" t="s">
        <v>284</v>
      </c>
      <c r="C12" s="35"/>
      <c r="D12" s="35"/>
      <c r="E12" s="41">
        <f>SUM(E8:E11)</f>
        <v>124.61404958677687</v>
      </c>
      <c r="G12" s="29" t="s">
        <v>285</v>
      </c>
      <c r="H12" s="29"/>
      <c r="I12" s="40"/>
      <c r="J12" s="40">
        <f>SUM(J8:J11)</f>
        <v>124.61404958677687</v>
      </c>
    </row>
    <row r="15" spans="1:10" x14ac:dyDescent="0.25">
      <c r="B15" s="51" t="s">
        <v>61</v>
      </c>
    </row>
    <row r="16" spans="1:10" x14ac:dyDescent="0.25">
      <c r="B16" t="s">
        <v>362</v>
      </c>
    </row>
    <row r="17" spans="2:4" x14ac:dyDescent="0.25">
      <c r="B17" s="29"/>
      <c r="C17" s="29" t="s">
        <v>63</v>
      </c>
      <c r="D17" s="29" t="s">
        <v>10</v>
      </c>
    </row>
    <row r="18" spans="2:4" x14ac:dyDescent="0.25">
      <c r="B18" t="s">
        <v>56</v>
      </c>
      <c r="C18">
        <f>t_meet_review</f>
        <v>1</v>
      </c>
      <c r="D18" s="16">
        <f>C18*c_hpp_hr_outside</f>
        <v>21.358126721763085</v>
      </c>
    </row>
    <row r="19" spans="2:4" x14ac:dyDescent="0.25">
      <c r="B19" t="s">
        <v>77</v>
      </c>
      <c r="C19">
        <f>t_meet_review</f>
        <v>1</v>
      </c>
      <c r="D19" s="16">
        <f>C19*c_nurse_6_hr_outside</f>
        <v>15.838016528925619</v>
      </c>
    </row>
    <row r="22" spans="2:4" x14ac:dyDescent="0.25">
      <c r="B22" s="29" t="s">
        <v>283</v>
      </c>
      <c r="C22" s="29"/>
      <c r="D22" s="40">
        <f>SUM(D18:D19)</f>
        <v>37.196143250688706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1CA9F-A8E7-4671-AC2E-F9D0B1717553}">
  <sheetPr codeName="Sheet17">
    <tabColor rgb="FFC00000"/>
  </sheetPr>
  <dimension ref="A1:N36"/>
  <sheetViews>
    <sheetView tabSelected="1" workbookViewId="0">
      <selection activeCell="Q26" sqref="Q26"/>
    </sheetView>
  </sheetViews>
  <sheetFormatPr defaultRowHeight="15" x14ac:dyDescent="0.25"/>
  <cols>
    <col min="1" max="1" width="16.7109375" bestFit="1" customWidth="1"/>
    <col min="2" max="2" width="5.85546875" customWidth="1"/>
    <col min="3" max="3" width="32.7109375" bestFit="1" customWidth="1"/>
    <col min="4" max="4" width="1.28515625" customWidth="1"/>
    <col min="5" max="5" width="20.42578125" bestFit="1" customWidth="1"/>
    <col min="6" max="6" width="12.7109375" customWidth="1"/>
    <col min="7" max="7" width="9.5703125" bestFit="1" customWidth="1"/>
    <col min="9" max="9" width="20" customWidth="1"/>
    <col min="10" max="10" width="8.7109375" customWidth="1"/>
  </cols>
  <sheetData>
    <row r="1" spans="1:14" x14ac:dyDescent="0.25">
      <c r="A1" s="1" t="s">
        <v>0</v>
      </c>
    </row>
    <row r="2" spans="1:14" x14ac:dyDescent="0.25">
      <c r="A2" s="8" t="s">
        <v>251</v>
      </c>
    </row>
    <row r="3" spans="1:14" ht="15.75" thickBot="1" x14ac:dyDescent="0.3">
      <c r="A3" s="8"/>
      <c r="H3" s="133" t="s">
        <v>106</v>
      </c>
      <c r="I3" s="134"/>
      <c r="J3" s="135"/>
    </row>
    <row r="4" spans="1:14" ht="15.75" thickBot="1" x14ac:dyDescent="0.3">
      <c r="C4" s="50" t="s">
        <v>144</v>
      </c>
      <c r="D4" s="76"/>
      <c r="E4" s="54" t="s">
        <v>361</v>
      </c>
      <c r="F4" s="55" t="s">
        <v>42</v>
      </c>
      <c r="G4" s="56" t="s">
        <v>114</v>
      </c>
      <c r="H4" s="131" t="s">
        <v>11</v>
      </c>
      <c r="I4" s="132" t="s">
        <v>448</v>
      </c>
      <c r="J4" s="132" t="s">
        <v>12</v>
      </c>
    </row>
    <row r="5" spans="1:14" x14ac:dyDescent="0.25">
      <c r="C5" s="116"/>
      <c r="D5" s="28"/>
      <c r="E5" s="28"/>
      <c r="F5" s="117"/>
      <c r="G5" s="118"/>
      <c r="H5" s="119"/>
      <c r="I5" s="118"/>
      <c r="J5" s="118"/>
    </row>
    <row r="6" spans="1:14" x14ac:dyDescent="0.25">
      <c r="C6" s="2" t="s">
        <v>249</v>
      </c>
      <c r="E6" s="34" t="s">
        <v>394</v>
      </c>
      <c r="F6" s="21"/>
      <c r="G6" s="115">
        <v>37.5</v>
      </c>
      <c r="H6" s="24">
        <f>Salaries!C159</f>
        <v>86448.5</v>
      </c>
      <c r="I6" s="20">
        <f>c_TBphys_yr/d_actual_hrs</f>
        <v>47.63002754820937</v>
      </c>
      <c r="J6" s="20">
        <f>$H6/(52*$G6)</f>
        <v>44.332564102564099</v>
      </c>
    </row>
    <row r="7" spans="1:14" x14ac:dyDescent="0.25">
      <c r="C7" s="2" t="s">
        <v>384</v>
      </c>
      <c r="E7" s="34" t="s">
        <v>388</v>
      </c>
      <c r="F7" s="21"/>
      <c r="G7" s="115">
        <v>37.5</v>
      </c>
      <c r="H7" s="24">
        <f>Salaries!D159</f>
        <v>93225.5</v>
      </c>
      <c r="I7" s="20">
        <f>$H7/d_actual_hrs</f>
        <v>51.36391184573003</v>
      </c>
      <c r="J7" s="20">
        <f>$H7/(52*$G7)</f>
        <v>47.807948717948719</v>
      </c>
    </row>
    <row r="8" spans="1:14" x14ac:dyDescent="0.25">
      <c r="C8" s="2" t="s">
        <v>372</v>
      </c>
      <c r="E8" s="34" t="s">
        <v>392</v>
      </c>
      <c r="F8" s="21">
        <v>7</v>
      </c>
      <c r="G8" s="115">
        <v>37.5</v>
      </c>
      <c r="H8" s="24">
        <f>Salaries!I109</f>
        <v>38765</v>
      </c>
      <c r="I8" s="20">
        <f>$H8/d_actual_hrs</f>
        <v>21.358126721763085</v>
      </c>
      <c r="J8" s="20">
        <f>$H8/(52*$G8)</f>
        <v>19.879487179487178</v>
      </c>
    </row>
    <row r="9" spans="1:14" x14ac:dyDescent="0.25">
      <c r="C9" s="2" t="s">
        <v>371</v>
      </c>
      <c r="E9" s="34" t="s">
        <v>374</v>
      </c>
      <c r="F9" s="21">
        <v>7</v>
      </c>
      <c r="G9" s="115">
        <v>37.5</v>
      </c>
      <c r="H9" s="24">
        <f>Salaries!E109</f>
        <v>43824</v>
      </c>
      <c r="I9" s="20">
        <f>$H9/d_actual_hrs</f>
        <v>24.145454545454545</v>
      </c>
      <c r="J9" s="20">
        <f>$H9/(52*$G9)</f>
        <v>22.473846153846154</v>
      </c>
      <c r="N9" s="14"/>
    </row>
    <row r="10" spans="1:14" x14ac:dyDescent="0.25">
      <c r="C10" s="2" t="s">
        <v>279</v>
      </c>
      <c r="E10" s="34" t="s">
        <v>389</v>
      </c>
      <c r="F10" s="21">
        <v>3</v>
      </c>
      <c r="G10" s="115">
        <v>37.5</v>
      </c>
      <c r="H10" s="24">
        <f>VLOOKUP(F10,Salaries!$B$8:$J$19,4,FALSE)</f>
        <v>18157</v>
      </c>
      <c r="I10" s="20">
        <f>$H10/d_actual_hrs</f>
        <v>10.003856749311295</v>
      </c>
      <c r="J10" s="20">
        <f>VLOOKUP($F10,Salaries!$B$23:$K$34,4,FALSE)</f>
        <v>9.2799999999999994</v>
      </c>
    </row>
    <row r="11" spans="1:14" x14ac:dyDescent="0.25">
      <c r="C11" s="2" t="s">
        <v>385</v>
      </c>
      <c r="E11" s="34" t="s">
        <v>380</v>
      </c>
      <c r="F11" s="21">
        <v>3</v>
      </c>
      <c r="G11" s="115">
        <v>37.5</v>
      </c>
      <c r="H11" s="24">
        <f>Salaries!E42</f>
        <v>22557</v>
      </c>
      <c r="I11" s="20">
        <f>$H11/d_actual_hrs</f>
        <v>12.428099173553719</v>
      </c>
      <c r="J11" s="20">
        <f>$H11/(52*$G11)</f>
        <v>11.567692307692308</v>
      </c>
    </row>
    <row r="12" spans="1:14" x14ac:dyDescent="0.25">
      <c r="C12" s="2" t="s">
        <v>78</v>
      </c>
      <c r="E12" s="34" t="s">
        <v>393</v>
      </c>
      <c r="F12" s="21">
        <v>6</v>
      </c>
      <c r="G12" s="115">
        <v>37.5</v>
      </c>
      <c r="H12" s="24">
        <f>VLOOKUP(F12,Salaries!$B$8:$J$19,4,FALSE)</f>
        <v>28746</v>
      </c>
      <c r="I12" s="20">
        <f>$H12/d_actual_hrs</f>
        <v>15.838016528925619</v>
      </c>
      <c r="J12" s="20">
        <f>VLOOKUP($F12,Salaries!$B$23:$K$34,4,FALSE)</f>
        <v>14.7</v>
      </c>
    </row>
    <row r="13" spans="1:14" x14ac:dyDescent="0.25">
      <c r="C13" s="2" t="s">
        <v>384</v>
      </c>
      <c r="E13" s="34" t="s">
        <v>381</v>
      </c>
      <c r="F13" s="21">
        <v>6</v>
      </c>
      <c r="G13" s="115">
        <v>37.5</v>
      </c>
      <c r="H13" s="24">
        <f>Salaries!E45</f>
        <v>34495.199999999997</v>
      </c>
      <c r="I13" s="20">
        <f>$H13/d_actual_hrs</f>
        <v>19.005619834710743</v>
      </c>
      <c r="J13" s="20">
        <f>$H13/(52*$G13)</f>
        <v>17.689846153846151</v>
      </c>
    </row>
    <row r="14" spans="1:14" x14ac:dyDescent="0.25">
      <c r="C14" s="2" t="s">
        <v>79</v>
      </c>
      <c r="E14" s="34" t="s">
        <v>390</v>
      </c>
      <c r="F14" s="21">
        <v>7</v>
      </c>
      <c r="G14" s="115">
        <v>37.5</v>
      </c>
      <c r="H14" s="24">
        <f>VLOOKUP(F14,Salaries!$B$8:$J$19,4,FALSE)</f>
        <v>33895</v>
      </c>
      <c r="I14" s="20">
        <f>$H14/d_actual_hrs</f>
        <v>18.674931129476583</v>
      </c>
      <c r="J14" s="20">
        <f>VLOOKUP($F14,Salaries!$B$23:$K$34,4,FALSE)</f>
        <v>17.34</v>
      </c>
    </row>
    <row r="15" spans="1:14" x14ac:dyDescent="0.25">
      <c r="C15" s="2" t="s">
        <v>386</v>
      </c>
      <c r="E15" s="34" t="s">
        <v>382</v>
      </c>
      <c r="F15" s="21">
        <v>7</v>
      </c>
      <c r="G15" s="115">
        <v>37.5</v>
      </c>
      <c r="H15" s="24">
        <f>Salaries!E46</f>
        <v>40672</v>
      </c>
      <c r="I15" s="20">
        <f>$H15/d_actual_hrs</f>
        <v>22.408815426997243</v>
      </c>
      <c r="J15" s="20">
        <f>$H15/(52*$G15)</f>
        <v>20.857435897435899</v>
      </c>
    </row>
    <row r="16" spans="1:14" x14ac:dyDescent="0.25">
      <c r="C16" s="2" t="s">
        <v>82</v>
      </c>
      <c r="E16" s="34" t="s">
        <v>391</v>
      </c>
      <c r="F16" s="21" t="s">
        <v>43</v>
      </c>
      <c r="G16" s="115">
        <v>37.5</v>
      </c>
      <c r="H16" s="24">
        <f>VLOOKUP(F16,Salaries!$B$8:$J$19,4,FALSE)</f>
        <v>43469</v>
      </c>
      <c r="I16" s="20">
        <f>$H16/d_actual_hrs</f>
        <v>23.949862258953168</v>
      </c>
      <c r="J16" s="20">
        <f>VLOOKUP($F16,Salaries!$B$23:$K$34,4,FALSE)</f>
        <v>22.23</v>
      </c>
    </row>
    <row r="17" spans="3:10" x14ac:dyDescent="0.25">
      <c r="C17" s="2" t="s">
        <v>384</v>
      </c>
      <c r="E17" s="34" t="s">
        <v>383</v>
      </c>
      <c r="F17" s="21" t="s">
        <v>43</v>
      </c>
      <c r="G17" s="115">
        <v>37.5</v>
      </c>
      <c r="H17" s="24">
        <f>Salaries!E47</f>
        <v>50246</v>
      </c>
      <c r="I17" s="20">
        <f>$H17/d_actual_hrs</f>
        <v>27.683746556473828</v>
      </c>
      <c r="J17" s="20">
        <f>$H17/(52*$G17)</f>
        <v>25.767179487179487</v>
      </c>
    </row>
    <row r="18" spans="3:10" x14ac:dyDescent="0.25">
      <c r="C18" s="2" t="s">
        <v>146</v>
      </c>
      <c r="E18" s="34" t="s">
        <v>147</v>
      </c>
      <c r="F18" s="21"/>
      <c r="G18" s="3"/>
      <c r="H18" s="23"/>
      <c r="I18" s="3"/>
      <c r="J18" s="118"/>
    </row>
    <row r="19" spans="3:10" x14ac:dyDescent="0.25">
      <c r="C19" s="2" t="s">
        <v>8</v>
      </c>
      <c r="E19" s="34" t="s">
        <v>145</v>
      </c>
      <c r="F19" s="21"/>
      <c r="G19" s="3"/>
      <c r="H19" s="23"/>
      <c r="I19" s="3"/>
      <c r="J19" s="118"/>
    </row>
    <row r="20" spans="3:10" x14ac:dyDescent="0.25">
      <c r="C20" s="2" t="s">
        <v>192</v>
      </c>
      <c r="E20" s="34"/>
      <c r="F20" s="21"/>
      <c r="G20" s="3"/>
      <c r="H20" s="23"/>
      <c r="I20" s="3"/>
      <c r="J20" s="118"/>
    </row>
    <row r="21" spans="3:10" x14ac:dyDescent="0.25">
      <c r="C21" s="2" t="s">
        <v>195</v>
      </c>
      <c r="E21" s="34"/>
      <c r="F21" s="21"/>
      <c r="G21" s="3"/>
      <c r="H21" s="23"/>
      <c r="I21" s="3"/>
      <c r="J21" s="118"/>
    </row>
    <row r="22" spans="3:10" x14ac:dyDescent="0.25">
      <c r="C22" s="2" t="s">
        <v>1</v>
      </c>
      <c r="E22" s="34"/>
      <c r="F22" s="21"/>
      <c r="G22" s="3"/>
      <c r="H22" s="23"/>
      <c r="I22" s="3"/>
      <c r="J22" s="118"/>
    </row>
    <row r="23" spans="3:10" x14ac:dyDescent="0.25">
      <c r="C23" s="2" t="s">
        <v>3</v>
      </c>
      <c r="E23" s="34"/>
      <c r="F23" s="21"/>
      <c r="G23" s="3"/>
      <c r="H23" s="23"/>
      <c r="I23" s="3"/>
      <c r="J23" s="118"/>
    </row>
    <row r="24" spans="3:10" x14ac:dyDescent="0.25">
      <c r="C24" s="2" t="s">
        <v>4</v>
      </c>
      <c r="E24" s="34"/>
      <c r="F24" s="21"/>
      <c r="G24" s="3"/>
      <c r="H24" s="23"/>
      <c r="I24" s="3"/>
      <c r="J24" s="118"/>
    </row>
    <row r="25" spans="3:10" x14ac:dyDescent="0.25">
      <c r="C25" s="2" t="s">
        <v>5</v>
      </c>
      <c r="E25" s="34"/>
      <c r="F25" s="21"/>
      <c r="G25" s="3"/>
      <c r="H25" s="23"/>
      <c r="I25" s="3"/>
      <c r="J25" s="118"/>
    </row>
    <row r="26" spans="3:10" x14ac:dyDescent="0.25">
      <c r="C26" s="2" t="s">
        <v>6</v>
      </c>
      <c r="E26" s="34"/>
      <c r="F26" s="21"/>
      <c r="G26" s="3"/>
      <c r="H26" s="23"/>
      <c r="I26" s="3"/>
      <c r="J26" s="118"/>
    </row>
    <row r="27" spans="3:10" x14ac:dyDescent="0.25">
      <c r="C27" s="2" t="s">
        <v>7</v>
      </c>
      <c r="E27" s="34"/>
      <c r="F27" s="21"/>
      <c r="G27" s="3"/>
      <c r="H27" s="23"/>
      <c r="I27" s="3"/>
      <c r="J27" s="118"/>
    </row>
    <row r="28" spans="3:10" x14ac:dyDescent="0.25">
      <c r="C28" s="2" t="s">
        <v>353</v>
      </c>
      <c r="E28" s="34"/>
      <c r="F28" s="21"/>
      <c r="G28" s="3"/>
      <c r="H28" s="23"/>
      <c r="I28" s="3"/>
      <c r="J28" s="118"/>
    </row>
    <row r="29" spans="3:10" x14ac:dyDescent="0.25">
      <c r="C29" s="2" t="s">
        <v>41</v>
      </c>
      <c r="E29" s="34"/>
      <c r="F29" s="21"/>
      <c r="G29" s="3"/>
      <c r="H29" s="23"/>
      <c r="I29" s="3"/>
      <c r="J29" s="118"/>
    </row>
    <row r="30" spans="3:10" x14ac:dyDescent="0.25">
      <c r="C30" s="2" t="s">
        <v>253</v>
      </c>
      <c r="E30" s="34"/>
      <c r="F30" s="21"/>
      <c r="G30" s="3"/>
      <c r="H30" s="23"/>
      <c r="I30" s="3"/>
      <c r="J30" s="118"/>
    </row>
    <row r="31" spans="3:10" x14ac:dyDescent="0.25">
      <c r="C31" s="2" t="s">
        <v>446</v>
      </c>
      <c r="E31" s="34"/>
      <c r="F31" s="21"/>
      <c r="G31" s="3"/>
      <c r="H31" s="23"/>
      <c r="I31" s="3"/>
      <c r="J31" s="118"/>
    </row>
    <row r="32" spans="3:10" x14ac:dyDescent="0.25">
      <c r="C32" s="2" t="s">
        <v>194</v>
      </c>
      <c r="E32" s="34"/>
      <c r="F32" s="21"/>
      <c r="G32" s="3"/>
      <c r="H32" s="23"/>
      <c r="I32" s="3"/>
      <c r="J32" s="118"/>
    </row>
    <row r="33" spans="3:10" x14ac:dyDescent="0.25">
      <c r="C33" s="2" t="s">
        <v>193</v>
      </c>
      <c r="E33" s="34"/>
      <c r="F33" s="21"/>
      <c r="G33" s="3"/>
      <c r="H33" s="23"/>
      <c r="I33" s="3"/>
      <c r="J33" s="118"/>
    </row>
    <row r="34" spans="3:10" x14ac:dyDescent="0.25">
      <c r="C34" s="2" t="s">
        <v>354</v>
      </c>
      <c r="E34" s="34"/>
      <c r="F34" s="21"/>
      <c r="G34" s="3"/>
      <c r="H34" s="23"/>
      <c r="I34" s="3"/>
      <c r="J34" s="118"/>
    </row>
    <row r="35" spans="3:10" x14ac:dyDescent="0.25">
      <c r="C35" s="2" t="s">
        <v>9</v>
      </c>
      <c r="E35" s="34"/>
      <c r="F35" s="21"/>
      <c r="G35" s="3"/>
      <c r="H35" s="23"/>
      <c r="I35" s="3"/>
      <c r="J35" s="118"/>
    </row>
    <row r="36" spans="3:10" ht="15.75" thickBot="1" x14ac:dyDescent="0.3">
      <c r="C36" s="4" t="s">
        <v>447</v>
      </c>
      <c r="D36" s="27"/>
      <c r="E36" s="57"/>
      <c r="F36" s="22"/>
      <c r="G36" s="5"/>
      <c r="H36" s="25"/>
      <c r="I36" s="5"/>
      <c r="J36" s="118"/>
    </row>
  </sheetData>
  <mergeCells count="1">
    <mergeCell ref="H3:J3"/>
  </mergeCells>
  <hyperlinks>
    <hyperlink ref="A2" r:id="rId1" xr:uid="{AA214668-A1F9-4A0D-AF7A-8A7086BECAD8}"/>
  </hyperlinks>
  <pageMargins left="0.7" right="0.7" top="0.75" bottom="0.75" header="0.3" footer="0.3"/>
  <ignoredErrors>
    <ignoredError sqref="H11 H13 H15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4FC34-C4B0-44E9-88FC-F94F8D191E62}">
  <sheetPr codeName="Sheet18">
    <tabColor rgb="FFC00000"/>
  </sheetPr>
  <dimension ref="A1:Q169"/>
  <sheetViews>
    <sheetView zoomScale="85" zoomScaleNormal="85" workbookViewId="0">
      <selection activeCell="C159" sqref="C159"/>
    </sheetView>
  </sheetViews>
  <sheetFormatPr defaultRowHeight="15" x14ac:dyDescent="0.25"/>
  <cols>
    <col min="1" max="1" width="9.7109375" customWidth="1"/>
    <col min="2" max="2" width="15.28515625" customWidth="1"/>
    <col min="3" max="3" width="19.42578125" bestFit="1" customWidth="1"/>
    <col min="4" max="4" width="28" bestFit="1" customWidth="1"/>
    <col min="5" max="5" width="27" bestFit="1" customWidth="1"/>
    <col min="6" max="6" width="27.42578125" bestFit="1" customWidth="1"/>
    <col min="7" max="7" width="22.85546875" bestFit="1" customWidth="1"/>
    <col min="8" max="8" width="9.7109375" bestFit="1" customWidth="1"/>
    <col min="11" max="11" width="10.7109375" bestFit="1" customWidth="1"/>
  </cols>
  <sheetData>
    <row r="1" spans="1:13" ht="15.75" x14ac:dyDescent="0.25">
      <c r="A1" s="39" t="s">
        <v>97</v>
      </c>
    </row>
    <row r="3" spans="1:13" x14ac:dyDescent="0.25">
      <c r="A3" s="108" t="s">
        <v>14</v>
      </c>
    </row>
    <row r="4" spans="1:13" x14ac:dyDescent="0.25">
      <c r="A4" s="8" t="s">
        <v>13</v>
      </c>
    </row>
    <row r="5" spans="1:13" x14ac:dyDescent="0.25">
      <c r="B5" s="8"/>
    </row>
    <row r="6" spans="1:13" x14ac:dyDescent="0.25">
      <c r="B6" s="1" t="s">
        <v>11</v>
      </c>
    </row>
    <row r="7" spans="1:13" x14ac:dyDescent="0.25">
      <c r="B7" s="14" t="s">
        <v>15</v>
      </c>
    </row>
    <row r="8" spans="1:13" x14ac:dyDescent="0.25">
      <c r="B8" s="13">
        <v>1</v>
      </c>
      <c r="C8" s="6">
        <v>15404</v>
      </c>
      <c r="D8" s="6">
        <v>15671</v>
      </c>
      <c r="K8" s="6"/>
      <c r="L8" s="6"/>
      <c r="M8" s="6"/>
    </row>
    <row r="9" spans="1:13" x14ac:dyDescent="0.25">
      <c r="B9" s="13">
        <v>2</v>
      </c>
      <c r="C9" s="6">
        <v>15404</v>
      </c>
      <c r="D9" s="6">
        <v>15671</v>
      </c>
      <c r="E9" s="6">
        <v>16104</v>
      </c>
      <c r="F9" s="6">
        <v>16536</v>
      </c>
      <c r="G9" s="6">
        <v>16968</v>
      </c>
      <c r="H9" s="6">
        <v>17524</v>
      </c>
      <c r="I9" s="6">
        <v>18157</v>
      </c>
      <c r="K9" s="6"/>
      <c r="L9" s="6"/>
      <c r="M9" s="6"/>
    </row>
    <row r="10" spans="1:13" x14ac:dyDescent="0.25">
      <c r="B10" s="13">
        <v>3</v>
      </c>
      <c r="C10" s="6">
        <v>16968</v>
      </c>
      <c r="D10" s="6">
        <v>17524</v>
      </c>
      <c r="E10" s="6">
        <v>18157</v>
      </c>
      <c r="F10" s="6">
        <v>18333</v>
      </c>
      <c r="G10" s="6">
        <v>18839</v>
      </c>
      <c r="H10" s="6">
        <v>19409</v>
      </c>
      <c r="I10" s="6">
        <v>19852</v>
      </c>
      <c r="K10" s="6"/>
      <c r="L10" s="6"/>
      <c r="M10" s="6"/>
    </row>
    <row r="11" spans="1:13" x14ac:dyDescent="0.25">
      <c r="B11" s="13">
        <v>4</v>
      </c>
      <c r="C11" s="6">
        <v>19409</v>
      </c>
      <c r="D11" s="6">
        <v>19852</v>
      </c>
      <c r="E11" s="6">
        <v>20551</v>
      </c>
      <c r="F11" s="6">
        <v>21263</v>
      </c>
      <c r="G11" s="6">
        <v>21909</v>
      </c>
      <c r="H11" s="6">
        <v>22128</v>
      </c>
      <c r="I11" s="6">
        <v>22683</v>
      </c>
      <c r="K11" s="6"/>
      <c r="L11" s="6"/>
      <c r="M11" s="6"/>
    </row>
    <row r="12" spans="1:13" x14ac:dyDescent="0.25">
      <c r="B12" s="13">
        <v>5</v>
      </c>
      <c r="C12" s="6">
        <v>22128</v>
      </c>
      <c r="D12" s="6">
        <v>22683</v>
      </c>
      <c r="E12" s="6">
        <v>23597</v>
      </c>
      <c r="F12" s="6">
        <v>24547</v>
      </c>
      <c r="G12" s="6">
        <v>25551</v>
      </c>
      <c r="H12" s="6">
        <v>26565</v>
      </c>
      <c r="I12" s="6">
        <v>27635</v>
      </c>
      <c r="J12" s="6">
        <v>28746</v>
      </c>
      <c r="K12" s="6"/>
      <c r="L12" s="6"/>
      <c r="M12" s="6"/>
    </row>
    <row r="13" spans="1:13" x14ac:dyDescent="0.25">
      <c r="B13" s="13">
        <v>6</v>
      </c>
      <c r="C13" s="6">
        <v>26565</v>
      </c>
      <c r="D13" s="6">
        <v>27635</v>
      </c>
      <c r="E13" s="6">
        <v>28746</v>
      </c>
      <c r="F13" s="6">
        <v>29626</v>
      </c>
      <c r="G13" s="6">
        <v>30661</v>
      </c>
      <c r="H13" s="6">
        <v>31696</v>
      </c>
      <c r="I13" s="6">
        <v>32731</v>
      </c>
      <c r="K13" s="6"/>
      <c r="L13" s="6"/>
      <c r="M13" s="6"/>
    </row>
    <row r="14" spans="1:13" x14ac:dyDescent="0.25">
      <c r="B14" s="13">
        <v>7</v>
      </c>
      <c r="C14" s="6">
        <v>31696</v>
      </c>
      <c r="D14" s="6">
        <v>32731</v>
      </c>
      <c r="E14" s="6">
        <v>33895</v>
      </c>
      <c r="F14" s="6">
        <v>35577</v>
      </c>
      <c r="G14" s="6">
        <v>36612</v>
      </c>
      <c r="H14" s="6">
        <v>37777</v>
      </c>
      <c r="I14" s="6">
        <v>39070</v>
      </c>
      <c r="K14" s="6"/>
      <c r="L14" s="6"/>
      <c r="M14" s="6"/>
    </row>
    <row r="15" spans="1:13" x14ac:dyDescent="0.25">
      <c r="B15" s="13" t="s">
        <v>43</v>
      </c>
      <c r="C15" s="6">
        <v>40428</v>
      </c>
      <c r="D15" s="6">
        <v>41787</v>
      </c>
      <c r="E15" s="6">
        <v>43469</v>
      </c>
      <c r="F15" s="6">
        <v>45150</v>
      </c>
      <c r="G15" s="6">
        <v>47092</v>
      </c>
      <c r="H15" s="6">
        <v>48514</v>
      </c>
      <c r="K15" s="6"/>
      <c r="L15" s="6"/>
      <c r="M15" s="6"/>
    </row>
    <row r="16" spans="1:13" x14ac:dyDescent="0.25">
      <c r="B16" s="13" t="s">
        <v>44</v>
      </c>
      <c r="C16" s="6">
        <v>47092</v>
      </c>
      <c r="D16" s="6">
        <v>48514</v>
      </c>
      <c r="E16" s="6">
        <v>50972</v>
      </c>
      <c r="F16" s="6">
        <v>53818</v>
      </c>
      <c r="G16" s="6">
        <v>56665</v>
      </c>
      <c r="H16" s="6">
        <v>58217</v>
      </c>
      <c r="K16" s="6"/>
      <c r="L16" s="6"/>
      <c r="M16" s="6"/>
    </row>
    <row r="17" spans="2:13" x14ac:dyDescent="0.25">
      <c r="B17" s="13" t="s">
        <v>45</v>
      </c>
      <c r="C17" s="6">
        <v>56665</v>
      </c>
      <c r="D17" s="6">
        <v>58217</v>
      </c>
      <c r="E17" s="6">
        <v>60202</v>
      </c>
      <c r="F17" s="6">
        <v>63021</v>
      </c>
      <c r="G17" s="6">
        <v>67247</v>
      </c>
      <c r="H17" s="6">
        <v>69168</v>
      </c>
    </row>
    <row r="18" spans="2:13" x14ac:dyDescent="0.25">
      <c r="B18" s="13" t="s">
        <v>46</v>
      </c>
      <c r="C18" s="6">
        <v>67247</v>
      </c>
      <c r="D18" s="6">
        <v>69168</v>
      </c>
      <c r="E18" s="6">
        <v>72051</v>
      </c>
      <c r="F18" s="6">
        <v>75573</v>
      </c>
      <c r="G18" s="6">
        <v>79415</v>
      </c>
      <c r="H18" s="6">
        <v>83258</v>
      </c>
    </row>
    <row r="19" spans="2:13" x14ac:dyDescent="0.25">
      <c r="B19" s="13">
        <v>9</v>
      </c>
      <c r="C19" s="6">
        <v>79415</v>
      </c>
      <c r="D19" s="6">
        <v>83258</v>
      </c>
      <c r="E19" s="6">
        <v>87254</v>
      </c>
      <c r="F19" s="6">
        <v>91442</v>
      </c>
      <c r="G19" s="6">
        <v>95832</v>
      </c>
      <c r="H19" s="6">
        <v>100431</v>
      </c>
    </row>
    <row r="21" spans="2:13" x14ac:dyDescent="0.25">
      <c r="B21" s="1" t="s">
        <v>12</v>
      </c>
    </row>
    <row r="22" spans="2:13" x14ac:dyDescent="0.25">
      <c r="B22" s="14" t="s">
        <v>15</v>
      </c>
    </row>
    <row r="23" spans="2:13" x14ac:dyDescent="0.25">
      <c r="B23" s="13">
        <v>1</v>
      </c>
      <c r="C23" s="7">
        <v>7.88</v>
      </c>
      <c r="D23" s="7">
        <v>8.01</v>
      </c>
      <c r="L23" s="7"/>
      <c r="M23" s="7"/>
    </row>
    <row r="24" spans="2:13" x14ac:dyDescent="0.25">
      <c r="B24" s="13">
        <v>2</v>
      </c>
      <c r="C24" s="7">
        <v>7.88</v>
      </c>
      <c r="D24" s="7">
        <v>8.01</v>
      </c>
      <c r="E24" s="7">
        <v>8.24</v>
      </c>
      <c r="F24" s="7">
        <v>8.4600000000000009</v>
      </c>
      <c r="G24" s="7">
        <v>8.68</v>
      </c>
      <c r="H24" s="7">
        <v>8.9600000000000009</v>
      </c>
      <c r="I24" s="7">
        <v>9.2899999999999991</v>
      </c>
      <c r="L24" s="7"/>
      <c r="M24" s="7"/>
    </row>
    <row r="25" spans="2:13" x14ac:dyDescent="0.25">
      <c r="B25" s="13">
        <v>3</v>
      </c>
      <c r="C25" s="7">
        <v>8.68</v>
      </c>
      <c r="D25" s="7">
        <v>8.9600000000000009</v>
      </c>
      <c r="E25" s="7">
        <v>9.2799999999999994</v>
      </c>
      <c r="F25" s="7">
        <v>9.3800000000000008</v>
      </c>
      <c r="G25" s="7">
        <v>9.64</v>
      </c>
      <c r="H25" s="7">
        <v>9.93</v>
      </c>
      <c r="I25" s="7">
        <v>10.15</v>
      </c>
      <c r="L25" s="7"/>
      <c r="M25" s="7"/>
    </row>
    <row r="26" spans="2:13" x14ac:dyDescent="0.25">
      <c r="B26" s="13">
        <v>4</v>
      </c>
      <c r="C26" s="7">
        <v>9.93</v>
      </c>
      <c r="D26" s="7">
        <v>10.15</v>
      </c>
      <c r="E26" s="7">
        <v>10.51</v>
      </c>
      <c r="F26" s="7">
        <v>10.87</v>
      </c>
      <c r="G26" s="7">
        <v>11.21</v>
      </c>
      <c r="H26" s="7">
        <v>11.32</v>
      </c>
      <c r="I26" s="7">
        <v>11.6</v>
      </c>
      <c r="L26" s="7"/>
      <c r="M26" s="7"/>
    </row>
    <row r="27" spans="2:13" x14ac:dyDescent="0.25">
      <c r="B27" s="13">
        <v>5</v>
      </c>
      <c r="C27" s="7">
        <v>11.32</v>
      </c>
      <c r="D27" s="7">
        <v>11.6</v>
      </c>
      <c r="E27" s="7">
        <v>12.07</v>
      </c>
      <c r="F27" s="7">
        <v>12.55</v>
      </c>
      <c r="G27" s="7">
        <v>13.07</v>
      </c>
      <c r="H27" s="7">
        <v>13.59</v>
      </c>
      <c r="I27" s="7">
        <v>14.13</v>
      </c>
      <c r="J27" s="7">
        <v>14.7</v>
      </c>
      <c r="L27" s="7"/>
      <c r="M27" s="7"/>
    </row>
    <row r="28" spans="2:13" x14ac:dyDescent="0.25">
      <c r="B28" s="13">
        <v>6</v>
      </c>
      <c r="C28" s="7">
        <v>13.59</v>
      </c>
      <c r="D28" s="7">
        <v>14.13</v>
      </c>
      <c r="E28" s="7">
        <v>14.7</v>
      </c>
      <c r="F28" s="7">
        <v>15.15</v>
      </c>
      <c r="G28" s="7">
        <v>15.68</v>
      </c>
      <c r="H28" s="7">
        <v>16.21</v>
      </c>
      <c r="I28" s="7">
        <v>16.739999999999998</v>
      </c>
      <c r="J28" s="7">
        <v>17.34</v>
      </c>
      <c r="K28" s="7">
        <v>18.2</v>
      </c>
      <c r="L28" s="7"/>
      <c r="M28" s="7"/>
    </row>
    <row r="29" spans="2:13" x14ac:dyDescent="0.25">
      <c r="B29" s="13">
        <v>7</v>
      </c>
      <c r="C29" s="7">
        <v>16.21</v>
      </c>
      <c r="D29" s="7">
        <v>16.739999999999998</v>
      </c>
      <c r="E29" s="7">
        <v>17.34</v>
      </c>
      <c r="F29" s="7">
        <v>18.2</v>
      </c>
      <c r="G29" s="7">
        <v>18.72</v>
      </c>
      <c r="H29" s="7">
        <v>19.32</v>
      </c>
      <c r="I29" s="7">
        <v>19.98</v>
      </c>
      <c r="J29" s="7">
        <v>20.68</v>
      </c>
      <c r="K29" s="7">
        <v>21.37</v>
      </c>
      <c r="L29" s="7"/>
      <c r="M29" s="7"/>
    </row>
    <row r="30" spans="2:13" x14ac:dyDescent="0.25">
      <c r="B30" s="13" t="s">
        <v>43</v>
      </c>
      <c r="C30" s="7">
        <v>20.67</v>
      </c>
      <c r="D30" s="7">
        <v>21.37</v>
      </c>
      <c r="E30" s="7">
        <v>22.23</v>
      </c>
      <c r="F30" s="7">
        <v>23.09</v>
      </c>
      <c r="G30" s="7">
        <v>24.08</v>
      </c>
      <c r="H30" s="7">
        <v>24.81</v>
      </c>
      <c r="L30" s="7"/>
      <c r="M30" s="7"/>
    </row>
    <row r="31" spans="2:13" x14ac:dyDescent="0.25">
      <c r="B31" s="13" t="s">
        <v>44</v>
      </c>
      <c r="C31" s="7">
        <v>24.08</v>
      </c>
      <c r="D31" s="7">
        <v>24.81</v>
      </c>
      <c r="E31" s="7">
        <v>26.07</v>
      </c>
      <c r="F31" s="7">
        <v>27.52</v>
      </c>
      <c r="G31" s="7">
        <v>28.98</v>
      </c>
      <c r="H31" s="7">
        <v>29.77</v>
      </c>
      <c r="L31" s="7"/>
      <c r="M31" s="7"/>
    </row>
    <row r="32" spans="2:13" x14ac:dyDescent="0.25">
      <c r="B32" s="13" t="s">
        <v>45</v>
      </c>
      <c r="C32" s="7">
        <v>28.98</v>
      </c>
      <c r="D32" s="7">
        <v>29.77</v>
      </c>
      <c r="E32" s="7">
        <v>30.79</v>
      </c>
      <c r="F32" s="7">
        <v>32.229999999999997</v>
      </c>
      <c r="G32" s="7">
        <v>34.39</v>
      </c>
      <c r="H32" s="7">
        <v>35.380000000000003</v>
      </c>
      <c r="L32" s="7"/>
      <c r="M32" s="7"/>
    </row>
    <row r="33" spans="1:11" x14ac:dyDescent="0.25">
      <c r="B33" s="13" t="s">
        <v>46</v>
      </c>
      <c r="C33" s="7">
        <v>34.39</v>
      </c>
      <c r="D33" s="7">
        <v>35.380000000000003</v>
      </c>
      <c r="E33" s="7">
        <v>36.85</v>
      </c>
      <c r="F33" s="7">
        <v>38.65</v>
      </c>
      <c r="G33" s="7">
        <v>40.619999999999997</v>
      </c>
      <c r="H33" s="7">
        <v>42.58</v>
      </c>
    </row>
    <row r="34" spans="1:11" x14ac:dyDescent="0.25">
      <c r="B34" s="13">
        <v>9</v>
      </c>
      <c r="C34" s="7">
        <v>40.619999999999997</v>
      </c>
      <c r="D34" s="7">
        <v>42.58</v>
      </c>
      <c r="E34" s="7">
        <v>44.62</v>
      </c>
      <c r="F34" s="7">
        <v>46.77</v>
      </c>
      <c r="G34" s="7">
        <v>49.01</v>
      </c>
      <c r="H34" s="7">
        <v>51.36</v>
      </c>
    </row>
    <row r="35" spans="1:11" x14ac:dyDescent="0.25">
      <c r="B35" s="13"/>
      <c r="C35" s="7"/>
      <c r="D35" s="7"/>
      <c r="E35" s="7"/>
      <c r="F35" s="7"/>
      <c r="G35" s="7"/>
      <c r="H35" s="7"/>
    </row>
    <row r="36" spans="1:11" x14ac:dyDescent="0.25">
      <c r="B36" s="13"/>
      <c r="C36" s="7"/>
      <c r="D36" s="7"/>
      <c r="E36" s="7"/>
      <c r="F36" s="7"/>
      <c r="G36" s="7"/>
      <c r="H36" s="7"/>
    </row>
    <row r="37" spans="1:11" x14ac:dyDescent="0.25">
      <c r="A37" t="s">
        <v>379</v>
      </c>
      <c r="B37" s="13"/>
      <c r="C37" s="7"/>
      <c r="D37" s="7"/>
      <c r="E37" s="7"/>
      <c r="F37" s="7"/>
      <c r="G37" s="7"/>
      <c r="H37" s="7"/>
    </row>
    <row r="38" spans="1:11" x14ac:dyDescent="0.25">
      <c r="B38" s="1" t="s">
        <v>387</v>
      </c>
    </row>
    <row r="39" spans="1:11" x14ac:dyDescent="0.25">
      <c r="B39" s="14" t="s">
        <v>15</v>
      </c>
    </row>
    <row r="40" spans="1:11" x14ac:dyDescent="0.25">
      <c r="B40" s="13">
        <v>1</v>
      </c>
      <c r="C40" s="6">
        <f>MIN(MAX(C8*(1.2), C8+4400),C8+6777)</f>
        <v>19804</v>
      </c>
      <c r="D40" s="6">
        <f t="shared" ref="D40" si="0">MIN(MAX(D8*(1.2), D8+4400),D8+6777)</f>
        <v>20071</v>
      </c>
      <c r="E40" s="6"/>
      <c r="F40" s="6"/>
      <c r="G40" s="6"/>
      <c r="H40" s="6"/>
    </row>
    <row r="41" spans="1:11" x14ac:dyDescent="0.25">
      <c r="B41" s="13">
        <v>2</v>
      </c>
      <c r="C41" s="6">
        <f t="shared" ref="C41:H51" si="1">MIN(MAX(C9*(1.2), C9+4400),C9+6777)</f>
        <v>19804</v>
      </c>
      <c r="D41" s="6">
        <f t="shared" si="1"/>
        <v>20071</v>
      </c>
      <c r="E41" s="6">
        <f t="shared" si="1"/>
        <v>20504</v>
      </c>
      <c r="F41" s="6">
        <f t="shared" si="1"/>
        <v>20936</v>
      </c>
      <c r="G41" s="6">
        <f t="shared" si="1"/>
        <v>21368</v>
      </c>
      <c r="H41" s="6">
        <f t="shared" si="1"/>
        <v>21924</v>
      </c>
      <c r="I41" s="7"/>
    </row>
    <row r="42" spans="1:11" x14ac:dyDescent="0.25">
      <c r="B42" s="13">
        <v>3</v>
      </c>
      <c r="C42" s="6">
        <f t="shared" si="1"/>
        <v>21368</v>
      </c>
      <c r="D42" s="6">
        <f t="shared" si="1"/>
        <v>21924</v>
      </c>
      <c r="E42" s="6">
        <f t="shared" si="1"/>
        <v>22557</v>
      </c>
      <c r="F42" s="6">
        <f t="shared" si="1"/>
        <v>22733</v>
      </c>
      <c r="G42" s="6">
        <f t="shared" si="1"/>
        <v>23239</v>
      </c>
      <c r="H42" s="6">
        <f t="shared" si="1"/>
        <v>23809</v>
      </c>
      <c r="I42" s="7"/>
    </row>
    <row r="43" spans="1:11" x14ac:dyDescent="0.25">
      <c r="B43" s="13">
        <v>4</v>
      </c>
      <c r="C43" s="6">
        <f t="shared" si="1"/>
        <v>23809</v>
      </c>
      <c r="D43" s="6">
        <f t="shared" si="1"/>
        <v>24252</v>
      </c>
      <c r="E43" s="6">
        <f t="shared" si="1"/>
        <v>24951</v>
      </c>
      <c r="F43" s="6">
        <f t="shared" si="1"/>
        <v>25663</v>
      </c>
      <c r="G43" s="6">
        <f t="shared" si="1"/>
        <v>26309</v>
      </c>
      <c r="H43" s="6">
        <f t="shared" si="1"/>
        <v>26553.599999999999</v>
      </c>
      <c r="I43" s="7"/>
    </row>
    <row r="44" spans="1:11" x14ac:dyDescent="0.25">
      <c r="B44" s="13">
        <v>5</v>
      </c>
      <c r="C44" s="6">
        <f t="shared" si="1"/>
        <v>26553.599999999999</v>
      </c>
      <c r="D44" s="6">
        <f t="shared" si="1"/>
        <v>27219.599999999999</v>
      </c>
      <c r="E44" s="6">
        <f t="shared" si="1"/>
        <v>28316.399999999998</v>
      </c>
      <c r="F44" s="6">
        <f t="shared" si="1"/>
        <v>29456.399999999998</v>
      </c>
      <c r="G44" s="6">
        <f t="shared" si="1"/>
        <v>30661.199999999997</v>
      </c>
      <c r="H44" s="6">
        <f t="shared" si="1"/>
        <v>31878</v>
      </c>
      <c r="I44" s="7"/>
      <c r="J44" s="7"/>
    </row>
    <row r="45" spans="1:11" x14ac:dyDescent="0.25">
      <c r="B45" s="13">
        <v>6</v>
      </c>
      <c r="C45" s="6">
        <f t="shared" si="1"/>
        <v>31878</v>
      </c>
      <c r="D45" s="6">
        <f t="shared" si="1"/>
        <v>33162</v>
      </c>
      <c r="E45" s="6">
        <f t="shared" si="1"/>
        <v>34495.199999999997</v>
      </c>
      <c r="F45" s="6">
        <f t="shared" si="1"/>
        <v>35551.199999999997</v>
      </c>
      <c r="G45" s="6">
        <f t="shared" si="1"/>
        <v>36793.199999999997</v>
      </c>
      <c r="H45" s="6">
        <f t="shared" si="1"/>
        <v>38035.199999999997</v>
      </c>
      <c r="I45" s="7"/>
      <c r="J45" s="7"/>
      <c r="K45" s="7"/>
    </row>
    <row r="46" spans="1:11" x14ac:dyDescent="0.25">
      <c r="B46" s="13">
        <v>7</v>
      </c>
      <c r="C46" s="6">
        <f t="shared" si="1"/>
        <v>38035.199999999997</v>
      </c>
      <c r="D46" s="6">
        <f t="shared" si="1"/>
        <v>39277.199999999997</v>
      </c>
      <c r="E46" s="6">
        <f t="shared" si="1"/>
        <v>40672</v>
      </c>
      <c r="F46" s="6">
        <f t="shared" si="1"/>
        <v>42354</v>
      </c>
      <c r="G46" s="6">
        <f t="shared" si="1"/>
        <v>43389</v>
      </c>
      <c r="H46" s="6">
        <f t="shared" si="1"/>
        <v>44554</v>
      </c>
      <c r="I46" s="7"/>
      <c r="J46" s="7"/>
      <c r="K46" s="7"/>
    </row>
    <row r="47" spans="1:11" x14ac:dyDescent="0.25">
      <c r="B47" s="13" t="s">
        <v>43</v>
      </c>
      <c r="C47" s="6">
        <f t="shared" si="1"/>
        <v>47205</v>
      </c>
      <c r="D47" s="6">
        <f t="shared" si="1"/>
        <v>48564</v>
      </c>
      <c r="E47" s="6">
        <f t="shared" si="1"/>
        <v>50246</v>
      </c>
      <c r="F47" s="6">
        <f t="shared" si="1"/>
        <v>51927</v>
      </c>
      <c r="G47" s="6">
        <f t="shared" si="1"/>
        <v>53869</v>
      </c>
      <c r="H47" s="6">
        <f t="shared" si="1"/>
        <v>55291</v>
      </c>
    </row>
    <row r="48" spans="1:11" x14ac:dyDescent="0.25">
      <c r="B48" s="13" t="s">
        <v>44</v>
      </c>
      <c r="C48" s="6">
        <f t="shared" si="1"/>
        <v>53869</v>
      </c>
      <c r="D48" s="6">
        <f t="shared" si="1"/>
        <v>55291</v>
      </c>
      <c r="E48" s="6">
        <f t="shared" si="1"/>
        <v>57749</v>
      </c>
      <c r="F48" s="6">
        <f t="shared" si="1"/>
        <v>60595</v>
      </c>
      <c r="G48" s="6">
        <f t="shared" si="1"/>
        <v>63442</v>
      </c>
      <c r="H48" s="6">
        <f t="shared" si="1"/>
        <v>64994</v>
      </c>
    </row>
    <row r="49" spans="1:11" x14ac:dyDescent="0.25">
      <c r="B49" s="13" t="s">
        <v>45</v>
      </c>
      <c r="C49" s="6">
        <f t="shared" si="1"/>
        <v>63442</v>
      </c>
      <c r="D49" s="6">
        <f t="shared" si="1"/>
        <v>64994</v>
      </c>
      <c r="E49" s="6">
        <f t="shared" si="1"/>
        <v>66979</v>
      </c>
      <c r="F49" s="6">
        <f t="shared" si="1"/>
        <v>69798</v>
      </c>
      <c r="G49" s="6">
        <f t="shared" si="1"/>
        <v>74024</v>
      </c>
      <c r="H49" s="6">
        <f t="shared" si="1"/>
        <v>75945</v>
      </c>
    </row>
    <row r="50" spans="1:11" x14ac:dyDescent="0.25">
      <c r="B50" s="13" t="s">
        <v>46</v>
      </c>
      <c r="C50" s="6">
        <f t="shared" si="1"/>
        <v>74024</v>
      </c>
      <c r="D50" s="6">
        <f t="shared" si="1"/>
        <v>75945</v>
      </c>
      <c r="E50" s="6">
        <f t="shared" si="1"/>
        <v>78828</v>
      </c>
      <c r="F50" s="6">
        <f t="shared" si="1"/>
        <v>82350</v>
      </c>
      <c r="G50" s="6">
        <f t="shared" si="1"/>
        <v>86192</v>
      </c>
      <c r="H50" s="6">
        <f t="shared" si="1"/>
        <v>90035</v>
      </c>
    </row>
    <row r="51" spans="1:11" x14ac:dyDescent="0.25">
      <c r="B51" s="13">
        <v>9</v>
      </c>
      <c r="C51" s="6">
        <f t="shared" si="1"/>
        <v>86192</v>
      </c>
      <c r="D51" s="6">
        <f t="shared" si="1"/>
        <v>90035</v>
      </c>
      <c r="E51" s="6">
        <f t="shared" si="1"/>
        <v>94031</v>
      </c>
      <c r="F51" s="6">
        <f t="shared" si="1"/>
        <v>98219</v>
      </c>
      <c r="G51" s="6">
        <f t="shared" si="1"/>
        <v>102609</v>
      </c>
      <c r="H51" s="6">
        <f t="shared" si="1"/>
        <v>107208</v>
      </c>
    </row>
    <row r="52" spans="1:11" x14ac:dyDescent="0.25">
      <c r="B52" s="13"/>
      <c r="C52" s="7"/>
      <c r="D52" s="7"/>
      <c r="E52" s="7"/>
      <c r="F52" s="7"/>
      <c r="G52" s="7"/>
      <c r="H52" s="7"/>
    </row>
    <row r="53" spans="1:11" x14ac:dyDescent="0.25">
      <c r="B53" s="13"/>
      <c r="C53" s="7"/>
      <c r="D53" s="7"/>
      <c r="E53" s="7"/>
      <c r="F53" s="7"/>
      <c r="G53" s="7"/>
      <c r="H53" s="7"/>
    </row>
    <row r="54" spans="1:11" x14ac:dyDescent="0.25">
      <c r="B54" s="13"/>
      <c r="C54" s="7"/>
      <c r="D54" s="7"/>
      <c r="E54" s="7"/>
      <c r="F54" s="7"/>
      <c r="G54" s="7"/>
      <c r="H54" s="7"/>
    </row>
    <row r="55" spans="1:11" x14ac:dyDescent="0.25">
      <c r="G55" s="7"/>
      <c r="H55" s="7"/>
    </row>
    <row r="57" spans="1:11" x14ac:dyDescent="0.25">
      <c r="A57" s="109" t="s">
        <v>39</v>
      </c>
    </row>
    <row r="58" spans="1:11" x14ac:dyDescent="0.25">
      <c r="A58" t="s">
        <v>38</v>
      </c>
    </row>
    <row r="59" spans="1:11" x14ac:dyDescent="0.25">
      <c r="A59" s="8" t="s">
        <v>40</v>
      </c>
    </row>
    <row r="60" spans="1:11" x14ac:dyDescent="0.25">
      <c r="A60" s="8" t="s">
        <v>88</v>
      </c>
      <c r="B60" s="8"/>
    </row>
    <row r="61" spans="1:11" x14ac:dyDescent="0.25">
      <c r="A61" t="s">
        <v>121</v>
      </c>
      <c r="B61" s="8"/>
    </row>
    <row r="62" spans="1:11" x14ac:dyDescent="0.25">
      <c r="B62" s="8"/>
    </row>
    <row r="63" spans="1:11" x14ac:dyDescent="0.25">
      <c r="B63" s="45" t="s">
        <v>15</v>
      </c>
      <c r="C63" s="1" t="s">
        <v>16</v>
      </c>
      <c r="D63" s="1" t="s">
        <v>113</v>
      </c>
      <c r="E63" s="1" t="s">
        <v>17</v>
      </c>
      <c r="F63" s="1" t="s">
        <v>17</v>
      </c>
      <c r="G63" s="1" t="s">
        <v>17</v>
      </c>
      <c r="H63" s="1"/>
      <c r="I63" s="1" t="s">
        <v>89</v>
      </c>
      <c r="J63" s="1"/>
      <c r="K63" s="1"/>
    </row>
    <row r="64" spans="1:11" x14ac:dyDescent="0.25">
      <c r="B64" s="1"/>
      <c r="C64" s="1"/>
      <c r="D64" s="1"/>
      <c r="E64" s="1" t="s">
        <v>18</v>
      </c>
      <c r="F64" s="1" t="s">
        <v>19</v>
      </c>
      <c r="G64" s="1" t="s">
        <v>20</v>
      </c>
      <c r="H64" s="1"/>
      <c r="I64" s="1"/>
      <c r="J64" s="1"/>
      <c r="K64" s="1"/>
    </row>
    <row r="65" spans="2:17" x14ac:dyDescent="0.25">
      <c r="B65">
        <v>1</v>
      </c>
      <c r="C65">
        <v>2</v>
      </c>
      <c r="D65" t="s">
        <v>21</v>
      </c>
      <c r="E65" s="9">
        <v>21786</v>
      </c>
      <c r="F65" s="11">
        <v>21119</v>
      </c>
      <c r="G65" s="9">
        <v>18460</v>
      </c>
      <c r="I65" s="9">
        <v>17652</v>
      </c>
      <c r="O65" s="9"/>
      <c r="P65" s="9"/>
      <c r="Q65" s="9"/>
    </row>
    <row r="66" spans="2:17" x14ac:dyDescent="0.25">
      <c r="C66">
        <v>3</v>
      </c>
      <c r="D66" t="s">
        <v>22</v>
      </c>
      <c r="E66" s="9">
        <v>21786</v>
      </c>
      <c r="F66" s="11">
        <v>21119</v>
      </c>
      <c r="G66" s="9">
        <v>18460</v>
      </c>
      <c r="I66" s="9">
        <v>17652</v>
      </c>
      <c r="O66" s="9"/>
      <c r="P66" s="9"/>
      <c r="Q66" s="9"/>
    </row>
    <row r="67" spans="2:17" x14ac:dyDescent="0.25">
      <c r="B67">
        <v>2</v>
      </c>
      <c r="C67">
        <v>2</v>
      </c>
      <c r="D67" t="s">
        <v>21</v>
      </c>
      <c r="E67" s="9">
        <v>21786</v>
      </c>
      <c r="F67" s="11">
        <v>21119</v>
      </c>
      <c r="G67" s="9">
        <v>18460</v>
      </c>
      <c r="I67" s="9">
        <v>17652</v>
      </c>
      <c r="O67" s="9"/>
      <c r="P67" s="9"/>
      <c r="Q67" s="9"/>
    </row>
    <row r="68" spans="2:17" x14ac:dyDescent="0.25">
      <c r="C68">
        <v>3</v>
      </c>
      <c r="D68" t="s">
        <v>23</v>
      </c>
      <c r="E68" s="9">
        <v>21786</v>
      </c>
      <c r="F68" s="11">
        <v>21119</v>
      </c>
      <c r="G68" s="9">
        <v>18460</v>
      </c>
      <c r="I68" s="9">
        <v>17652</v>
      </c>
      <c r="O68" s="9"/>
      <c r="P68" s="9"/>
      <c r="Q68" s="9"/>
    </row>
    <row r="69" spans="2:17" x14ac:dyDescent="0.25">
      <c r="C69">
        <v>4</v>
      </c>
      <c r="D69" t="s">
        <v>24</v>
      </c>
      <c r="E69" s="9">
        <v>21786</v>
      </c>
      <c r="F69" s="11">
        <v>21119</v>
      </c>
      <c r="G69" s="9">
        <v>18460</v>
      </c>
      <c r="I69" s="9">
        <v>17652</v>
      </c>
      <c r="O69" s="9"/>
      <c r="P69" s="9"/>
      <c r="Q69" s="9"/>
    </row>
    <row r="70" spans="2:17" x14ac:dyDescent="0.25">
      <c r="C70">
        <v>5</v>
      </c>
      <c r="D70" t="s">
        <v>25</v>
      </c>
      <c r="E70" s="9">
        <v>21786</v>
      </c>
      <c r="F70" s="11">
        <v>21119</v>
      </c>
      <c r="G70" s="9">
        <v>18460</v>
      </c>
      <c r="I70" s="9">
        <v>17652</v>
      </c>
      <c r="O70" s="9"/>
      <c r="P70" s="9"/>
      <c r="Q70" s="9"/>
    </row>
    <row r="71" spans="2:17" x14ac:dyDescent="0.25">
      <c r="C71">
        <v>6</v>
      </c>
      <c r="D71" t="s">
        <v>26</v>
      </c>
      <c r="E71" s="9">
        <v>21786</v>
      </c>
      <c r="F71" s="11">
        <v>21119</v>
      </c>
      <c r="G71" s="9">
        <v>18460</v>
      </c>
      <c r="I71" s="9">
        <v>17652</v>
      </c>
      <c r="O71" s="9"/>
      <c r="P71" s="9"/>
      <c r="Q71" s="9"/>
    </row>
    <row r="72" spans="2:17" x14ac:dyDescent="0.25">
      <c r="C72">
        <v>7</v>
      </c>
      <c r="D72" t="s">
        <v>27</v>
      </c>
      <c r="E72" s="9">
        <v>22113</v>
      </c>
      <c r="F72" s="11">
        <v>21446</v>
      </c>
      <c r="G72" s="9">
        <v>18787</v>
      </c>
      <c r="I72" s="9">
        <v>17983</v>
      </c>
      <c r="O72" s="9"/>
      <c r="P72" s="9"/>
      <c r="Q72" s="9"/>
    </row>
    <row r="73" spans="2:17" x14ac:dyDescent="0.25">
      <c r="C73">
        <v>8</v>
      </c>
      <c r="D73" t="s">
        <v>28</v>
      </c>
      <c r="E73" s="9">
        <v>23028</v>
      </c>
      <c r="F73" s="11">
        <v>22361</v>
      </c>
      <c r="G73" s="9">
        <v>19702</v>
      </c>
      <c r="I73" s="9">
        <v>19020</v>
      </c>
      <c r="O73" s="9"/>
      <c r="P73" s="9"/>
      <c r="Q73" s="9"/>
    </row>
    <row r="74" spans="2:17" x14ac:dyDescent="0.25">
      <c r="B74">
        <v>3</v>
      </c>
      <c r="C74">
        <v>6</v>
      </c>
      <c r="D74" t="s">
        <v>21</v>
      </c>
      <c r="E74" s="9">
        <v>22113</v>
      </c>
      <c r="F74" s="11">
        <v>21446</v>
      </c>
      <c r="G74" s="9">
        <v>18787</v>
      </c>
      <c r="I74" s="9">
        <v>18813</v>
      </c>
      <c r="O74" s="9"/>
      <c r="P74" s="9"/>
      <c r="Q74" s="9"/>
    </row>
    <row r="75" spans="2:17" x14ac:dyDescent="0.25">
      <c r="C75">
        <v>7</v>
      </c>
      <c r="D75" t="s">
        <v>23</v>
      </c>
      <c r="E75" s="9">
        <v>22113</v>
      </c>
      <c r="F75" s="11">
        <v>21446</v>
      </c>
      <c r="G75" s="9">
        <v>18787</v>
      </c>
      <c r="I75" s="9">
        <v>18813</v>
      </c>
      <c r="O75" s="9"/>
      <c r="P75" s="9"/>
      <c r="Q75" s="9"/>
    </row>
    <row r="76" spans="2:17" x14ac:dyDescent="0.25">
      <c r="C76">
        <v>8</v>
      </c>
      <c r="D76" t="s">
        <v>24</v>
      </c>
      <c r="E76" s="9">
        <v>22755</v>
      </c>
      <c r="F76" s="11">
        <v>22088</v>
      </c>
      <c r="G76" s="9">
        <v>19429</v>
      </c>
      <c r="I76" s="9">
        <v>18813</v>
      </c>
      <c r="O76" s="9"/>
      <c r="P76" s="9"/>
      <c r="Q76" s="9"/>
    </row>
    <row r="77" spans="2:17" x14ac:dyDescent="0.25">
      <c r="C77">
        <v>9</v>
      </c>
      <c r="D77" t="s">
        <v>25</v>
      </c>
      <c r="E77" s="9">
        <v>22934</v>
      </c>
      <c r="F77" s="11">
        <v>22267</v>
      </c>
      <c r="G77" s="9">
        <v>19608</v>
      </c>
      <c r="I77" s="9">
        <v>18813</v>
      </c>
      <c r="O77" s="9"/>
      <c r="P77" s="9"/>
      <c r="Q77" s="9"/>
    </row>
    <row r="78" spans="2:17" x14ac:dyDescent="0.25">
      <c r="C78">
        <v>10</v>
      </c>
      <c r="D78" t="s">
        <v>26</v>
      </c>
      <c r="E78" s="9">
        <v>23448</v>
      </c>
      <c r="F78" s="11">
        <v>22781</v>
      </c>
      <c r="G78" s="9">
        <v>20122</v>
      </c>
      <c r="I78" s="9">
        <v>19332</v>
      </c>
      <c r="O78" s="9"/>
      <c r="P78" s="9"/>
      <c r="Q78" s="9"/>
    </row>
    <row r="79" spans="2:17" x14ac:dyDescent="0.25">
      <c r="C79">
        <v>11</v>
      </c>
      <c r="D79" t="s">
        <v>27</v>
      </c>
      <c r="E79" s="9">
        <v>24026</v>
      </c>
      <c r="F79" s="11">
        <v>23359</v>
      </c>
      <c r="G79" s="9">
        <v>20700</v>
      </c>
      <c r="I79" s="9">
        <v>19917</v>
      </c>
      <c r="O79" s="9"/>
      <c r="P79" s="9"/>
      <c r="Q79" s="9"/>
    </row>
    <row r="80" spans="2:17" x14ac:dyDescent="0.25">
      <c r="C80">
        <v>12</v>
      </c>
      <c r="D80" t="s">
        <v>28</v>
      </c>
      <c r="E80" s="9">
        <v>24774</v>
      </c>
      <c r="F80" s="11">
        <v>24107</v>
      </c>
      <c r="G80" s="10">
        <v>21470.400000000001</v>
      </c>
      <c r="I80" s="9">
        <v>20795</v>
      </c>
      <c r="O80" s="9"/>
      <c r="P80" s="9"/>
      <c r="Q80" s="9"/>
    </row>
    <row r="81" spans="2:17" x14ac:dyDescent="0.25">
      <c r="B81">
        <v>4</v>
      </c>
      <c r="C81">
        <v>11</v>
      </c>
      <c r="D81" t="s">
        <v>21</v>
      </c>
      <c r="E81" s="9">
        <v>24476</v>
      </c>
      <c r="F81" s="11">
        <v>23809</v>
      </c>
      <c r="G81" s="10">
        <v>21157.5</v>
      </c>
      <c r="I81" s="9">
        <v>21089</v>
      </c>
      <c r="O81" s="9"/>
      <c r="P81" s="9"/>
      <c r="Q81" s="9"/>
    </row>
    <row r="82" spans="2:17" x14ac:dyDescent="0.25">
      <c r="C82">
        <v>12</v>
      </c>
      <c r="D82" t="s">
        <v>23</v>
      </c>
      <c r="E82" s="9">
        <v>24476</v>
      </c>
      <c r="F82" s="11">
        <v>23809</v>
      </c>
      <c r="G82" s="10">
        <v>21157.5</v>
      </c>
      <c r="I82" s="9">
        <v>21089</v>
      </c>
      <c r="O82" s="9"/>
      <c r="P82" s="9"/>
      <c r="Q82" s="9"/>
    </row>
    <row r="83" spans="2:17" x14ac:dyDescent="0.25">
      <c r="C83">
        <v>13</v>
      </c>
      <c r="D83" t="s">
        <v>24</v>
      </c>
      <c r="E83" s="9">
        <v>25185</v>
      </c>
      <c r="F83" s="11">
        <v>24518</v>
      </c>
      <c r="G83" s="10">
        <v>21901.95</v>
      </c>
      <c r="I83" s="9">
        <v>21089</v>
      </c>
      <c r="O83" s="9"/>
      <c r="P83" s="9"/>
      <c r="Q83" s="9"/>
    </row>
    <row r="84" spans="2:17" x14ac:dyDescent="0.25">
      <c r="C84">
        <v>14</v>
      </c>
      <c r="D84" t="s">
        <v>25</v>
      </c>
      <c r="E84" s="9">
        <v>25908</v>
      </c>
      <c r="F84" s="11">
        <v>25241</v>
      </c>
      <c r="G84" s="10">
        <v>22661.1</v>
      </c>
      <c r="I84" s="9">
        <v>21819</v>
      </c>
      <c r="O84" s="9"/>
      <c r="P84" s="9"/>
      <c r="Q84" s="9"/>
    </row>
    <row r="85" spans="2:17" x14ac:dyDescent="0.25">
      <c r="C85">
        <v>15</v>
      </c>
      <c r="D85" t="s">
        <v>26</v>
      </c>
      <c r="E85" s="10">
        <v>26685.599999999999</v>
      </c>
      <c r="F85" s="11">
        <v>25897</v>
      </c>
      <c r="G85" s="10">
        <v>23349.9</v>
      </c>
      <c r="I85" s="9">
        <v>22482</v>
      </c>
      <c r="O85" s="9"/>
      <c r="P85" s="9"/>
      <c r="Q85" s="9"/>
    </row>
    <row r="86" spans="2:17" x14ac:dyDescent="0.25">
      <c r="C86">
        <v>16</v>
      </c>
      <c r="D86" t="s">
        <v>27</v>
      </c>
      <c r="E86" s="9">
        <v>26952</v>
      </c>
      <c r="F86" s="11">
        <v>26119</v>
      </c>
      <c r="G86" s="9">
        <v>23583</v>
      </c>
      <c r="I86" s="9">
        <v>22707</v>
      </c>
      <c r="O86" s="9"/>
      <c r="P86" s="9"/>
      <c r="Q86" s="9"/>
    </row>
    <row r="87" spans="2:17" x14ac:dyDescent="0.25">
      <c r="C87">
        <v>17</v>
      </c>
      <c r="D87" t="s">
        <v>28</v>
      </c>
      <c r="E87" s="10">
        <v>28035.599999999999</v>
      </c>
      <c r="F87" s="11">
        <v>27022</v>
      </c>
      <c r="G87" s="10">
        <v>24531.15</v>
      </c>
      <c r="I87" s="9">
        <v>23761</v>
      </c>
      <c r="O87" s="9"/>
      <c r="P87" s="9"/>
      <c r="Q87" s="9"/>
    </row>
    <row r="88" spans="2:17" x14ac:dyDescent="0.25">
      <c r="B88">
        <v>5</v>
      </c>
      <c r="C88">
        <v>16</v>
      </c>
      <c r="D88" t="s">
        <v>21</v>
      </c>
      <c r="E88" s="10">
        <v>27627.599999999999</v>
      </c>
      <c r="F88" s="11">
        <v>26682</v>
      </c>
      <c r="G88" s="10">
        <v>24174.15</v>
      </c>
      <c r="I88" s="9">
        <v>24214</v>
      </c>
      <c r="O88" s="9"/>
      <c r="P88" s="9"/>
      <c r="Q88" s="9"/>
    </row>
    <row r="89" spans="2:17" x14ac:dyDescent="0.25">
      <c r="C89">
        <v>17</v>
      </c>
      <c r="D89" t="s">
        <v>23</v>
      </c>
      <c r="E89" s="10">
        <v>27627.599999999999</v>
      </c>
      <c r="F89" s="11">
        <v>26682</v>
      </c>
      <c r="G89" s="10">
        <v>24174.15</v>
      </c>
      <c r="I89" s="9">
        <v>24214</v>
      </c>
      <c r="O89" s="9"/>
      <c r="P89" s="9"/>
      <c r="Q89" s="9"/>
    </row>
    <row r="90" spans="2:17" x14ac:dyDescent="0.25">
      <c r="C90">
        <v>18</v>
      </c>
      <c r="D90" t="s">
        <v>24</v>
      </c>
      <c r="E90" s="10">
        <v>28741.200000000001</v>
      </c>
      <c r="F90" s="11">
        <v>27610</v>
      </c>
      <c r="G90" s="10">
        <v>25148.55</v>
      </c>
      <c r="I90" s="9">
        <v>24214</v>
      </c>
      <c r="O90" s="9"/>
      <c r="P90" s="9"/>
      <c r="Q90" s="9"/>
    </row>
    <row r="91" spans="2:17" x14ac:dyDescent="0.25">
      <c r="C91">
        <v>19</v>
      </c>
      <c r="D91" t="s">
        <v>25</v>
      </c>
      <c r="E91" s="9">
        <v>29898</v>
      </c>
      <c r="F91" s="12">
        <v>28652.25</v>
      </c>
      <c r="G91" s="10">
        <v>26160.75</v>
      </c>
      <c r="I91" s="9">
        <v>26220</v>
      </c>
      <c r="O91" s="9"/>
      <c r="P91" s="9"/>
      <c r="Q91" s="9"/>
    </row>
    <row r="92" spans="2:17" x14ac:dyDescent="0.25">
      <c r="C92">
        <v>20</v>
      </c>
      <c r="D92" t="s">
        <v>26</v>
      </c>
      <c r="E92" s="10">
        <v>31120.799999999999</v>
      </c>
      <c r="F92" s="12">
        <v>29824.1</v>
      </c>
      <c r="G92" s="10">
        <v>27230.7</v>
      </c>
      <c r="I92" s="9">
        <v>26220</v>
      </c>
      <c r="O92" s="9"/>
      <c r="P92" s="9"/>
      <c r="Q92" s="9"/>
    </row>
    <row r="93" spans="2:17" x14ac:dyDescent="0.25">
      <c r="C93">
        <v>21</v>
      </c>
      <c r="D93" t="s">
        <v>27</v>
      </c>
      <c r="E93" s="10">
        <v>32355.599999999999</v>
      </c>
      <c r="F93" s="12">
        <v>31007.45</v>
      </c>
      <c r="G93" s="10">
        <v>28311.15</v>
      </c>
      <c r="I93" s="9">
        <v>27260</v>
      </c>
      <c r="O93" s="9"/>
      <c r="P93" s="9"/>
      <c r="Q93" s="9"/>
    </row>
    <row r="94" spans="2:17" x14ac:dyDescent="0.25">
      <c r="C94">
        <v>22</v>
      </c>
      <c r="D94" t="s">
        <v>29</v>
      </c>
      <c r="E94" s="9">
        <v>33660</v>
      </c>
      <c r="F94" s="12">
        <v>32257.5</v>
      </c>
      <c r="G94" s="10">
        <v>29452.5</v>
      </c>
      <c r="I94" s="9">
        <v>28358</v>
      </c>
      <c r="O94" s="9"/>
      <c r="P94" s="9"/>
      <c r="Q94" s="9"/>
    </row>
    <row r="95" spans="2:17" x14ac:dyDescent="0.25">
      <c r="C95">
        <v>23</v>
      </c>
      <c r="D95" t="s">
        <v>30</v>
      </c>
      <c r="E95" s="10">
        <v>35529.599999999999</v>
      </c>
      <c r="F95" s="12">
        <v>34049.199999999997</v>
      </c>
      <c r="G95" s="10">
        <v>31088.400000000001</v>
      </c>
      <c r="I95" s="9">
        <v>30112</v>
      </c>
      <c r="P95" s="9"/>
      <c r="Q95" s="9"/>
    </row>
    <row r="96" spans="2:17" x14ac:dyDescent="0.25">
      <c r="B96">
        <v>6</v>
      </c>
      <c r="C96">
        <v>21</v>
      </c>
      <c r="D96" t="s">
        <v>21</v>
      </c>
      <c r="E96" s="9">
        <v>33660</v>
      </c>
      <c r="F96" s="12">
        <v>32257.5</v>
      </c>
      <c r="G96" s="10">
        <v>29452.5</v>
      </c>
      <c r="I96" s="9">
        <v>30401</v>
      </c>
      <c r="P96" s="9"/>
      <c r="Q96" s="9"/>
    </row>
    <row r="97" spans="2:16" x14ac:dyDescent="0.25">
      <c r="C97">
        <v>22</v>
      </c>
      <c r="D97" t="s">
        <v>23</v>
      </c>
      <c r="E97" s="9">
        <v>33660</v>
      </c>
      <c r="F97" s="12">
        <v>32257.5</v>
      </c>
      <c r="G97" s="10">
        <v>29452.5</v>
      </c>
      <c r="I97" s="9">
        <v>30401</v>
      </c>
      <c r="P97" s="9"/>
    </row>
    <row r="98" spans="2:16" x14ac:dyDescent="0.25">
      <c r="C98">
        <v>23</v>
      </c>
      <c r="D98" t="s">
        <v>24</v>
      </c>
      <c r="E98" s="10">
        <v>35012.400000000001</v>
      </c>
      <c r="F98" s="12">
        <v>33553.550000000003</v>
      </c>
      <c r="G98" s="10">
        <v>30635.85</v>
      </c>
      <c r="I98" s="9">
        <v>30401</v>
      </c>
    </row>
    <row r="99" spans="2:16" x14ac:dyDescent="0.25">
      <c r="B99" s="13"/>
      <c r="C99">
        <v>24</v>
      </c>
      <c r="D99" t="s">
        <v>25</v>
      </c>
      <c r="E99" s="9">
        <v>36084</v>
      </c>
      <c r="F99" s="12">
        <v>34580.5</v>
      </c>
      <c r="G99" s="10">
        <v>31573.5</v>
      </c>
      <c r="I99" s="9">
        <v>32525</v>
      </c>
    </row>
    <row r="100" spans="2:16" x14ac:dyDescent="0.25">
      <c r="B100" s="13"/>
      <c r="C100">
        <v>25</v>
      </c>
      <c r="D100" t="s">
        <v>26</v>
      </c>
      <c r="E100" s="10">
        <v>37345.199999999997</v>
      </c>
      <c r="F100" s="13" t="s">
        <v>31</v>
      </c>
      <c r="G100" s="10">
        <v>32677.05</v>
      </c>
      <c r="I100" s="9">
        <v>32525</v>
      </c>
    </row>
    <row r="101" spans="2:16" x14ac:dyDescent="0.25">
      <c r="B101" s="13"/>
      <c r="C101">
        <v>26</v>
      </c>
      <c r="D101" t="s">
        <v>27</v>
      </c>
      <c r="E101" s="10">
        <v>38605.199999999997</v>
      </c>
      <c r="F101" s="11">
        <v>36835</v>
      </c>
      <c r="G101" s="10">
        <v>33779.550000000003</v>
      </c>
      <c r="I101" s="9">
        <v>32525</v>
      </c>
      <c r="M101" s="14"/>
    </row>
    <row r="102" spans="2:16" x14ac:dyDescent="0.25">
      <c r="B102" s="13"/>
      <c r="C102">
        <v>27</v>
      </c>
      <c r="D102" t="s">
        <v>29</v>
      </c>
      <c r="E102" s="10">
        <v>39866.400000000001</v>
      </c>
      <c r="F102" s="11">
        <v>37886</v>
      </c>
      <c r="G102" s="10">
        <v>34883.1</v>
      </c>
      <c r="I102" s="9">
        <v>33587</v>
      </c>
    </row>
    <row r="103" spans="2:16" x14ac:dyDescent="0.25">
      <c r="B103" s="13"/>
      <c r="C103">
        <v>28</v>
      </c>
      <c r="D103" t="s">
        <v>32</v>
      </c>
      <c r="E103" s="9">
        <v>41066</v>
      </c>
      <c r="F103" s="11">
        <v>39067</v>
      </c>
      <c r="G103" s="10">
        <v>36123.15</v>
      </c>
      <c r="I103" s="9">
        <v>34782</v>
      </c>
    </row>
    <row r="104" spans="2:16" x14ac:dyDescent="0.25">
      <c r="B104" s="13"/>
      <c r="C104">
        <v>29</v>
      </c>
      <c r="D104" t="s">
        <v>33</v>
      </c>
      <c r="E104" s="9">
        <v>43307</v>
      </c>
      <c r="F104" s="11">
        <v>41308</v>
      </c>
      <c r="G104" s="9">
        <v>38377</v>
      </c>
      <c r="I104" s="9">
        <v>37267</v>
      </c>
    </row>
    <row r="105" spans="2:16" x14ac:dyDescent="0.25">
      <c r="B105" s="13">
        <v>7</v>
      </c>
      <c r="C105">
        <v>26</v>
      </c>
      <c r="D105" t="s">
        <v>34</v>
      </c>
      <c r="E105" s="111">
        <v>39866.400000000001</v>
      </c>
      <c r="F105" s="112">
        <v>37886</v>
      </c>
      <c r="G105" s="111">
        <v>34883.1</v>
      </c>
      <c r="I105" s="110">
        <v>37570</v>
      </c>
      <c r="J105" t="s">
        <v>252</v>
      </c>
      <c r="K105" t="s">
        <v>375</v>
      </c>
      <c r="L105" s="8" t="s">
        <v>373</v>
      </c>
    </row>
    <row r="106" spans="2:16" x14ac:dyDescent="0.25">
      <c r="B106" s="13"/>
      <c r="C106">
        <v>27</v>
      </c>
      <c r="D106" t="s">
        <v>23</v>
      </c>
      <c r="E106" s="111">
        <v>39866.400000000001</v>
      </c>
      <c r="F106" s="112">
        <v>37886</v>
      </c>
      <c r="G106" s="111">
        <v>34883.1</v>
      </c>
      <c r="I106" s="110">
        <v>37570</v>
      </c>
    </row>
    <row r="107" spans="2:16" x14ac:dyDescent="0.25">
      <c r="B107" s="13"/>
      <c r="C107">
        <v>28</v>
      </c>
      <c r="D107" t="s">
        <v>24</v>
      </c>
      <c r="E107" s="110">
        <v>41066</v>
      </c>
      <c r="F107" s="112">
        <v>39067</v>
      </c>
      <c r="G107" s="111">
        <v>36123.15</v>
      </c>
      <c r="I107" s="110">
        <v>37570</v>
      </c>
    </row>
    <row r="108" spans="2:16" ht="15.75" thickBot="1" x14ac:dyDescent="0.3">
      <c r="B108" s="13"/>
      <c r="C108">
        <v>29</v>
      </c>
      <c r="D108" t="s">
        <v>25</v>
      </c>
      <c r="E108" s="110">
        <v>42774</v>
      </c>
      <c r="F108" s="112">
        <v>40775</v>
      </c>
      <c r="G108" s="110">
        <v>37844</v>
      </c>
      <c r="I108" s="110">
        <v>37570</v>
      </c>
    </row>
    <row r="109" spans="2:16" ht="15.75" thickBot="1" x14ac:dyDescent="0.3">
      <c r="B109" s="13"/>
      <c r="C109">
        <v>30</v>
      </c>
      <c r="D109" t="s">
        <v>26</v>
      </c>
      <c r="E109" s="113">
        <v>43824</v>
      </c>
      <c r="F109" s="114">
        <v>41825</v>
      </c>
      <c r="G109" s="113">
        <v>38894</v>
      </c>
      <c r="I109" s="113">
        <v>38765</v>
      </c>
    </row>
    <row r="110" spans="2:16" x14ac:dyDescent="0.25">
      <c r="B110" s="13"/>
      <c r="C110">
        <v>31</v>
      </c>
      <c r="D110" t="s">
        <v>27</v>
      </c>
      <c r="E110" s="110">
        <v>45007</v>
      </c>
      <c r="F110" s="112">
        <v>43008</v>
      </c>
      <c r="G110" s="110">
        <v>40077</v>
      </c>
      <c r="I110" s="110">
        <v>38765</v>
      </c>
    </row>
    <row r="111" spans="2:16" x14ac:dyDescent="0.25">
      <c r="B111" s="13"/>
      <c r="C111">
        <v>32</v>
      </c>
      <c r="D111" t="s">
        <v>29</v>
      </c>
      <c r="E111" s="110">
        <v>46319</v>
      </c>
      <c r="F111" s="112">
        <v>44320</v>
      </c>
      <c r="G111" s="110">
        <v>41389</v>
      </c>
      <c r="I111" s="110">
        <v>40092</v>
      </c>
    </row>
    <row r="112" spans="2:16" x14ac:dyDescent="0.25">
      <c r="B112" s="13"/>
      <c r="C112">
        <v>33</v>
      </c>
      <c r="D112" t="s">
        <v>32</v>
      </c>
      <c r="E112" s="110">
        <v>47697</v>
      </c>
      <c r="F112" s="112">
        <v>45698</v>
      </c>
      <c r="G112" s="110">
        <v>42767</v>
      </c>
      <c r="I112" s="110">
        <v>41486</v>
      </c>
    </row>
    <row r="113" spans="2:9" x14ac:dyDescent="0.25">
      <c r="B113" s="13"/>
      <c r="C113">
        <v>34</v>
      </c>
      <c r="D113" t="s">
        <v>33</v>
      </c>
      <c r="E113" s="110">
        <v>49704</v>
      </c>
      <c r="F113" s="112">
        <v>47705</v>
      </c>
      <c r="G113" s="110">
        <v>44774</v>
      </c>
      <c r="I113" s="110">
        <v>43772</v>
      </c>
    </row>
    <row r="114" spans="2:9" x14ac:dyDescent="0.25">
      <c r="B114" s="13" t="s">
        <v>43</v>
      </c>
      <c r="C114">
        <v>33</v>
      </c>
      <c r="D114" t="s">
        <v>34</v>
      </c>
      <c r="E114" s="9">
        <v>49077</v>
      </c>
      <c r="F114" s="11">
        <v>47078</v>
      </c>
      <c r="G114" s="9">
        <v>44147</v>
      </c>
      <c r="I114" s="9">
        <v>44606</v>
      </c>
    </row>
    <row r="115" spans="2:9" x14ac:dyDescent="0.25">
      <c r="B115" s="13"/>
      <c r="C115">
        <v>34</v>
      </c>
      <c r="D115" t="s">
        <v>23</v>
      </c>
      <c r="E115" s="9">
        <v>49077</v>
      </c>
      <c r="F115" s="11">
        <v>47078</v>
      </c>
      <c r="G115" s="9">
        <v>44147</v>
      </c>
      <c r="I115" s="9">
        <v>44606</v>
      </c>
    </row>
    <row r="116" spans="2:9" x14ac:dyDescent="0.25">
      <c r="B116" s="13"/>
      <c r="C116">
        <v>35</v>
      </c>
      <c r="D116" t="s">
        <v>24</v>
      </c>
      <c r="E116" s="9">
        <v>50784</v>
      </c>
      <c r="F116" s="11">
        <v>48785</v>
      </c>
      <c r="G116" s="9">
        <v>45854</v>
      </c>
      <c r="I116" s="9">
        <v>44606</v>
      </c>
    </row>
    <row r="117" spans="2:9" x14ac:dyDescent="0.25">
      <c r="B117" s="13"/>
      <c r="C117">
        <v>36</v>
      </c>
      <c r="D117" t="s">
        <v>25</v>
      </c>
      <c r="E117" s="9">
        <v>52490</v>
      </c>
      <c r="F117" s="11">
        <v>50491</v>
      </c>
      <c r="G117" s="9">
        <v>47560</v>
      </c>
      <c r="I117" s="9">
        <v>46331</v>
      </c>
    </row>
    <row r="118" spans="2:9" x14ac:dyDescent="0.25">
      <c r="B118" s="13"/>
      <c r="C118">
        <v>37</v>
      </c>
      <c r="D118" t="s">
        <v>26</v>
      </c>
      <c r="E118" s="9">
        <v>54461</v>
      </c>
      <c r="F118" s="11">
        <v>52462</v>
      </c>
      <c r="G118" s="9">
        <v>49531</v>
      </c>
      <c r="I118" s="9">
        <v>48324</v>
      </c>
    </row>
    <row r="119" spans="2:9" x14ac:dyDescent="0.25">
      <c r="B119" s="13"/>
      <c r="C119">
        <v>38</v>
      </c>
      <c r="D119" t="s">
        <v>35</v>
      </c>
      <c r="E119" s="9">
        <v>56632</v>
      </c>
      <c r="F119" s="11">
        <v>54633</v>
      </c>
      <c r="G119" s="9">
        <v>51702</v>
      </c>
      <c r="I119" s="9">
        <v>50819</v>
      </c>
    </row>
    <row r="120" spans="2:9" x14ac:dyDescent="0.25">
      <c r="B120" s="13" t="s">
        <v>44</v>
      </c>
      <c r="C120">
        <v>37</v>
      </c>
      <c r="D120" t="s">
        <v>34</v>
      </c>
      <c r="E120" s="9">
        <v>55905</v>
      </c>
      <c r="F120" s="13" t="s">
        <v>36</v>
      </c>
      <c r="G120" s="9">
        <v>50975</v>
      </c>
      <c r="I120" s="9">
        <v>52306</v>
      </c>
    </row>
    <row r="121" spans="2:9" x14ac:dyDescent="0.25">
      <c r="B121" s="13"/>
      <c r="C121">
        <v>38</v>
      </c>
      <c r="D121" t="s">
        <v>23</v>
      </c>
      <c r="E121" s="9">
        <v>55905</v>
      </c>
      <c r="F121" s="11">
        <v>53906</v>
      </c>
      <c r="G121" s="9">
        <v>50975</v>
      </c>
      <c r="I121" s="9">
        <v>52306</v>
      </c>
    </row>
    <row r="122" spans="2:9" x14ac:dyDescent="0.25">
      <c r="B122" s="13"/>
      <c r="C122">
        <v>39</v>
      </c>
      <c r="D122" t="s">
        <v>24</v>
      </c>
      <c r="E122" s="9">
        <v>58400</v>
      </c>
      <c r="F122" s="11">
        <v>56401</v>
      </c>
      <c r="G122" s="9">
        <v>53470</v>
      </c>
      <c r="I122" s="9">
        <v>52306</v>
      </c>
    </row>
    <row r="123" spans="2:9" x14ac:dyDescent="0.25">
      <c r="B123" s="13"/>
      <c r="C123">
        <v>40</v>
      </c>
      <c r="D123" t="s">
        <v>25</v>
      </c>
      <c r="E123" s="9">
        <v>61288</v>
      </c>
      <c r="F123" s="11">
        <v>59289</v>
      </c>
      <c r="G123" s="9">
        <v>56358</v>
      </c>
      <c r="I123" s="9">
        <v>55226</v>
      </c>
    </row>
    <row r="124" spans="2:9" x14ac:dyDescent="0.25">
      <c r="B124" s="13"/>
      <c r="C124">
        <v>41</v>
      </c>
      <c r="D124" t="s">
        <v>26</v>
      </c>
      <c r="E124" s="9">
        <v>64178</v>
      </c>
      <c r="F124" s="11">
        <v>62179</v>
      </c>
      <c r="G124" s="9">
        <v>59248</v>
      </c>
      <c r="I124" s="9">
        <v>58148</v>
      </c>
    </row>
    <row r="125" spans="2:9" x14ac:dyDescent="0.25">
      <c r="B125" s="13"/>
      <c r="C125">
        <v>42</v>
      </c>
      <c r="D125" t="s">
        <v>35</v>
      </c>
      <c r="E125" s="9">
        <v>66627</v>
      </c>
      <c r="F125" s="11">
        <v>64628</v>
      </c>
      <c r="G125" s="9">
        <v>61697</v>
      </c>
      <c r="I125" s="9">
        <v>60983</v>
      </c>
    </row>
    <row r="126" spans="2:9" x14ac:dyDescent="0.25">
      <c r="B126" s="13" t="s">
        <v>45</v>
      </c>
      <c r="C126">
        <v>41</v>
      </c>
      <c r="D126" t="s">
        <v>34</v>
      </c>
      <c r="E126" s="9">
        <v>65753</v>
      </c>
      <c r="F126" s="11">
        <v>63754</v>
      </c>
      <c r="G126" s="9">
        <v>60823</v>
      </c>
      <c r="I126" s="9">
        <v>61777</v>
      </c>
    </row>
    <row r="127" spans="2:9" x14ac:dyDescent="0.25">
      <c r="B127" s="13"/>
      <c r="C127">
        <v>42</v>
      </c>
      <c r="D127" t="s">
        <v>23</v>
      </c>
      <c r="E127" s="9">
        <v>65753</v>
      </c>
      <c r="F127" s="11">
        <v>63754</v>
      </c>
      <c r="G127" s="9">
        <v>60823</v>
      </c>
      <c r="I127" s="9">
        <v>61777</v>
      </c>
    </row>
    <row r="128" spans="2:9" x14ac:dyDescent="0.25">
      <c r="B128" s="13"/>
      <c r="C128">
        <v>43</v>
      </c>
      <c r="D128" t="s">
        <v>24</v>
      </c>
      <c r="E128" s="9">
        <v>67768</v>
      </c>
      <c r="F128" s="11">
        <v>65769</v>
      </c>
      <c r="G128" s="9">
        <v>62838</v>
      </c>
      <c r="I128" s="9">
        <v>61777</v>
      </c>
    </row>
    <row r="129" spans="2:9" x14ac:dyDescent="0.25">
      <c r="B129" s="13"/>
      <c r="C129">
        <v>44</v>
      </c>
      <c r="D129" t="s">
        <v>37</v>
      </c>
      <c r="E129" s="9">
        <v>70629</v>
      </c>
      <c r="F129" s="11">
        <v>68630</v>
      </c>
      <c r="G129" s="9">
        <v>65699</v>
      </c>
      <c r="I129" s="9">
        <v>64670</v>
      </c>
    </row>
    <row r="130" spans="2:9" x14ac:dyDescent="0.25">
      <c r="B130" s="13"/>
      <c r="C130">
        <v>45</v>
      </c>
      <c r="D130" t="s">
        <v>26</v>
      </c>
      <c r="E130" s="9">
        <v>74919</v>
      </c>
      <c r="F130" s="11">
        <v>72920</v>
      </c>
      <c r="G130" s="9">
        <v>69989</v>
      </c>
      <c r="I130" s="9">
        <v>69007</v>
      </c>
    </row>
    <row r="131" spans="2:9" x14ac:dyDescent="0.25">
      <c r="B131" s="13"/>
      <c r="C131">
        <v>46</v>
      </c>
      <c r="D131" t="s">
        <v>35</v>
      </c>
      <c r="E131" s="9">
        <v>77906</v>
      </c>
      <c r="F131" s="11">
        <v>75907</v>
      </c>
      <c r="G131" s="9">
        <v>72976</v>
      </c>
      <c r="I131" s="9">
        <v>72597</v>
      </c>
    </row>
    <row r="132" spans="2:9" x14ac:dyDescent="0.25">
      <c r="B132" s="13" t="s">
        <v>46</v>
      </c>
      <c r="C132">
        <v>45</v>
      </c>
      <c r="D132" t="s">
        <v>34</v>
      </c>
      <c r="E132" s="9">
        <v>76869</v>
      </c>
      <c r="F132" s="11">
        <v>74870</v>
      </c>
      <c r="G132" s="9">
        <v>71939</v>
      </c>
      <c r="I132" s="9">
        <v>73936</v>
      </c>
    </row>
    <row r="133" spans="2:9" x14ac:dyDescent="0.25">
      <c r="B133" s="13"/>
      <c r="C133">
        <v>46</v>
      </c>
      <c r="D133" t="s">
        <v>23</v>
      </c>
      <c r="E133" s="9">
        <v>76869</v>
      </c>
      <c r="F133" s="11">
        <v>74870</v>
      </c>
      <c r="G133" s="9">
        <v>71939</v>
      </c>
      <c r="I133" s="9">
        <v>73936</v>
      </c>
    </row>
    <row r="134" spans="2:9" x14ac:dyDescent="0.25">
      <c r="B134" s="13"/>
      <c r="C134">
        <v>47</v>
      </c>
      <c r="D134" t="s">
        <v>24</v>
      </c>
      <c r="E134" s="9">
        <v>79795</v>
      </c>
      <c r="F134" s="11">
        <v>77796</v>
      </c>
      <c r="G134" s="9">
        <v>74865</v>
      </c>
      <c r="I134" s="9">
        <v>73936</v>
      </c>
    </row>
    <row r="135" spans="2:9" x14ac:dyDescent="0.25">
      <c r="B135" s="13"/>
      <c r="C135">
        <v>48</v>
      </c>
      <c r="D135" t="s">
        <v>37</v>
      </c>
      <c r="E135" s="9">
        <v>83370</v>
      </c>
      <c r="F135" s="11">
        <v>81371</v>
      </c>
      <c r="G135" s="9">
        <v>78440</v>
      </c>
      <c r="I135" s="9">
        <v>77550</v>
      </c>
    </row>
    <row r="136" spans="2:9" x14ac:dyDescent="0.25">
      <c r="B136" s="13"/>
      <c r="C136">
        <v>49</v>
      </c>
      <c r="D136" t="s">
        <v>26</v>
      </c>
      <c r="E136" s="9">
        <v>87269</v>
      </c>
      <c r="F136" s="11">
        <v>85270</v>
      </c>
      <c r="G136" s="9">
        <v>82339</v>
      </c>
      <c r="I136" s="9">
        <v>81493</v>
      </c>
    </row>
    <row r="137" spans="2:9" x14ac:dyDescent="0.25">
      <c r="B137" s="13"/>
      <c r="C137">
        <v>50</v>
      </c>
      <c r="D137" t="s">
        <v>35</v>
      </c>
      <c r="E137" s="9">
        <v>91996</v>
      </c>
      <c r="F137" s="11">
        <v>89997</v>
      </c>
      <c r="G137" s="9">
        <v>87066</v>
      </c>
      <c r="I137" s="9">
        <v>86687</v>
      </c>
    </row>
    <row r="138" spans="2:9" x14ac:dyDescent="0.25">
      <c r="B138" s="13">
        <v>9</v>
      </c>
      <c r="C138">
        <v>49</v>
      </c>
      <c r="D138" t="s">
        <v>34</v>
      </c>
      <c r="E138" s="9">
        <v>91170</v>
      </c>
      <c r="F138" s="11">
        <v>89171</v>
      </c>
      <c r="G138" s="9">
        <v>86240</v>
      </c>
      <c r="I138" s="9">
        <v>89537</v>
      </c>
    </row>
    <row r="139" spans="2:9" x14ac:dyDescent="0.25">
      <c r="B139" s="13"/>
      <c r="C139">
        <v>50</v>
      </c>
      <c r="D139" t="s">
        <v>23</v>
      </c>
      <c r="E139" s="9">
        <v>91170</v>
      </c>
      <c r="F139" s="11">
        <v>89171</v>
      </c>
      <c r="G139" s="9">
        <v>86240</v>
      </c>
      <c r="I139" s="9">
        <v>89537</v>
      </c>
    </row>
    <row r="140" spans="2:9" x14ac:dyDescent="0.25">
      <c r="B140" s="13"/>
      <c r="C140">
        <v>51</v>
      </c>
      <c r="D140" t="s">
        <v>24</v>
      </c>
      <c r="E140" s="9">
        <v>95226</v>
      </c>
      <c r="F140" s="11">
        <v>93227</v>
      </c>
      <c r="G140" s="9">
        <v>90296</v>
      </c>
      <c r="I140" s="9">
        <v>89537</v>
      </c>
    </row>
    <row r="141" spans="2:9" x14ac:dyDescent="0.25">
      <c r="C141">
        <v>52</v>
      </c>
      <c r="D141" t="s">
        <v>37</v>
      </c>
      <c r="E141" s="9">
        <v>99477</v>
      </c>
      <c r="F141" s="11">
        <v>97478</v>
      </c>
      <c r="G141" s="9">
        <v>94547</v>
      </c>
      <c r="I141" s="9">
        <v>93835</v>
      </c>
    </row>
    <row r="142" spans="2:9" x14ac:dyDescent="0.25">
      <c r="C142">
        <v>53</v>
      </c>
      <c r="D142" t="s">
        <v>26</v>
      </c>
      <c r="E142" s="9">
        <v>103932</v>
      </c>
      <c r="F142" s="11">
        <v>101933</v>
      </c>
      <c r="G142" s="9">
        <v>99002</v>
      </c>
      <c r="I142" s="9">
        <v>98339</v>
      </c>
    </row>
    <row r="143" spans="2:9" x14ac:dyDescent="0.25">
      <c r="C143">
        <v>54</v>
      </c>
      <c r="D143" t="s">
        <v>35</v>
      </c>
      <c r="E143" s="9">
        <v>109169</v>
      </c>
      <c r="F143" s="11">
        <v>107170</v>
      </c>
      <c r="G143" s="9">
        <v>104239</v>
      </c>
      <c r="I143" s="9">
        <v>103860</v>
      </c>
    </row>
    <row r="146" spans="1:6" x14ac:dyDescent="0.25">
      <c r="A146" s="109" t="s">
        <v>254</v>
      </c>
    </row>
    <row r="147" spans="1:6" x14ac:dyDescent="0.25">
      <c r="A147" s="8" t="s">
        <v>47</v>
      </c>
    </row>
    <row r="149" spans="1:6" x14ac:dyDescent="0.25">
      <c r="B149" s="1" t="s">
        <v>48</v>
      </c>
      <c r="C149" s="1" t="s">
        <v>255</v>
      </c>
      <c r="D149" s="45"/>
      <c r="E149" s="68"/>
      <c r="F149" s="1"/>
    </row>
    <row r="150" spans="1:6" x14ac:dyDescent="0.25">
      <c r="B150" t="s">
        <v>256</v>
      </c>
      <c r="C150" s="17">
        <v>77913</v>
      </c>
      <c r="D150" s="17"/>
    </row>
    <row r="151" spans="1:6" x14ac:dyDescent="0.25">
      <c r="B151" t="s">
        <v>257</v>
      </c>
      <c r="C151" s="17">
        <v>80352</v>
      </c>
      <c r="D151" s="17"/>
    </row>
    <row r="152" spans="1:6" x14ac:dyDescent="0.25">
      <c r="B152" t="s">
        <v>258</v>
      </c>
      <c r="C152" s="17">
        <v>82792</v>
      </c>
      <c r="D152" s="17"/>
    </row>
    <row r="153" spans="1:6" x14ac:dyDescent="0.25">
      <c r="B153" t="s">
        <v>259</v>
      </c>
      <c r="C153" s="17">
        <v>85232</v>
      </c>
      <c r="D153" s="17"/>
    </row>
    <row r="154" spans="1:6" x14ac:dyDescent="0.25">
      <c r="B154" t="s">
        <v>260</v>
      </c>
      <c r="C154" s="17">
        <v>87665</v>
      </c>
      <c r="D154" s="17"/>
    </row>
    <row r="155" spans="1:6" x14ac:dyDescent="0.25">
      <c r="B155" t="s">
        <v>261</v>
      </c>
      <c r="C155" s="17">
        <v>93459</v>
      </c>
      <c r="D155" s="17"/>
    </row>
    <row r="156" spans="1:6" x14ac:dyDescent="0.25">
      <c r="B156" t="s">
        <v>262</v>
      </c>
      <c r="C156" s="17">
        <v>99254</v>
      </c>
      <c r="D156" s="17"/>
    </row>
    <row r="157" spans="1:6" x14ac:dyDescent="0.25">
      <c r="B157" t="s">
        <v>263</v>
      </c>
      <c r="C157" s="17">
        <v>105042</v>
      </c>
      <c r="D157" s="17"/>
    </row>
    <row r="158" spans="1:6" x14ac:dyDescent="0.25">
      <c r="C158" s="17"/>
      <c r="D158" s="17"/>
    </row>
    <row r="159" spans="1:6" x14ac:dyDescent="0.25">
      <c r="B159" s="13" t="s">
        <v>264</v>
      </c>
      <c r="C159" s="17">
        <f>MEDIAN(C150:C157)</f>
        <v>86448.5</v>
      </c>
      <c r="D159" s="17">
        <f>MIN(C159*1.2,C159+6777)</f>
        <v>93225.5</v>
      </c>
    </row>
    <row r="160" spans="1:6" x14ac:dyDescent="0.25">
      <c r="D160" s="17"/>
    </row>
    <row r="161" spans="4:4" x14ac:dyDescent="0.25">
      <c r="D161" s="17"/>
    </row>
    <row r="162" spans="4:4" x14ac:dyDescent="0.25">
      <c r="D162" s="17"/>
    </row>
    <row r="163" spans="4:4" x14ac:dyDescent="0.25">
      <c r="D163" s="17"/>
    </row>
    <row r="164" spans="4:4" x14ac:dyDescent="0.25">
      <c r="D164" s="17"/>
    </row>
    <row r="165" spans="4:4" x14ac:dyDescent="0.25">
      <c r="D165" s="17"/>
    </row>
    <row r="166" spans="4:4" x14ac:dyDescent="0.25">
      <c r="D166" s="17"/>
    </row>
    <row r="167" spans="4:4" x14ac:dyDescent="0.25">
      <c r="D167" s="17"/>
    </row>
    <row r="168" spans="4:4" x14ac:dyDescent="0.25">
      <c r="D168" s="17"/>
    </row>
    <row r="169" spans="4:4" x14ac:dyDescent="0.25">
      <c r="D169" s="17"/>
    </row>
  </sheetData>
  <hyperlinks>
    <hyperlink ref="A4" r:id="rId1" xr:uid="{A16BBDB1-2EDC-4FB2-8FC3-B310B1E46C95}"/>
    <hyperlink ref="A59" r:id="rId2" xr:uid="{0D4E4F73-442B-44C8-AEEF-323BD97FC4D1}"/>
    <hyperlink ref="A147" r:id="rId3" xr:uid="{A9784ACE-E817-4528-94A2-8078B580BE56}"/>
    <hyperlink ref="A60" r:id="rId4" xr:uid="{DADBB57E-A5D8-467D-BBA2-DA5DB23E6C23}"/>
    <hyperlink ref="L105" r:id="rId5" xr:uid="{FB86C4CA-26BD-4112-8141-5EAB604FB61B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E2854-BAC4-4410-A047-A191F0E42A6B}">
  <sheetPr codeName="Sheet19">
    <tabColor rgb="FFC00000"/>
  </sheetPr>
  <dimension ref="A1:U54"/>
  <sheetViews>
    <sheetView zoomScale="85" zoomScaleNormal="85" workbookViewId="0">
      <selection activeCell="R19" sqref="R19"/>
    </sheetView>
  </sheetViews>
  <sheetFormatPr defaultRowHeight="15" x14ac:dyDescent="0.25"/>
  <cols>
    <col min="1" max="1" width="16" customWidth="1"/>
    <col min="2" max="2" width="5" bestFit="1" customWidth="1"/>
    <col min="3" max="3" width="24.7109375" bestFit="1" customWidth="1"/>
    <col min="4" max="4" width="17.7109375" bestFit="1" customWidth="1"/>
    <col min="5" max="5" width="15.7109375" bestFit="1" customWidth="1"/>
    <col min="6" max="6" width="15.5703125" bestFit="1" customWidth="1"/>
    <col min="7" max="7" width="9.85546875" bestFit="1" customWidth="1"/>
    <col min="8" max="8" width="6.85546875" bestFit="1" customWidth="1"/>
    <col min="9" max="9" width="6.28515625" bestFit="1" customWidth="1"/>
    <col min="10" max="10" width="7.42578125" bestFit="1" customWidth="1"/>
    <col min="11" max="11" width="8" bestFit="1" customWidth="1"/>
    <col min="12" max="12" width="12" bestFit="1" customWidth="1"/>
    <col min="13" max="13" width="16.28515625" bestFit="1" customWidth="1"/>
    <col min="14" max="15" width="15.7109375" customWidth="1"/>
    <col min="16" max="16" width="5.140625" bestFit="1" customWidth="1"/>
    <col min="17" max="17" width="26.140625" bestFit="1" customWidth="1"/>
    <col min="18" max="18" width="8.7109375" bestFit="1" customWidth="1"/>
    <col min="19" max="19" width="13.28515625" bestFit="1" customWidth="1"/>
    <col min="20" max="20" width="12.42578125" bestFit="1" customWidth="1"/>
    <col min="21" max="21" width="9.5703125" bestFit="1" customWidth="1"/>
  </cols>
  <sheetData>
    <row r="1" spans="1:21" ht="15.75" x14ac:dyDescent="0.25">
      <c r="A1" s="39" t="s">
        <v>314</v>
      </c>
    </row>
    <row r="2" spans="1:21" x14ac:dyDescent="0.25">
      <c r="R2" s="130" t="s">
        <v>10</v>
      </c>
      <c r="S2" s="130"/>
      <c r="T2" s="130"/>
      <c r="U2" s="130"/>
    </row>
    <row r="3" spans="1:21" x14ac:dyDescent="0.25">
      <c r="B3" s="1" t="s">
        <v>315</v>
      </c>
      <c r="C3" s="1" t="s">
        <v>216</v>
      </c>
      <c r="D3" s="1" t="s">
        <v>422</v>
      </c>
      <c r="E3" s="1" t="s">
        <v>423</v>
      </c>
      <c r="F3" s="1" t="s">
        <v>421</v>
      </c>
      <c r="G3" s="1" t="s">
        <v>218</v>
      </c>
      <c r="H3" s="1" t="s">
        <v>215</v>
      </c>
      <c r="I3" s="1" t="s">
        <v>316</v>
      </c>
      <c r="J3" s="1" t="s">
        <v>317</v>
      </c>
      <c r="K3" s="1" t="s">
        <v>318</v>
      </c>
      <c r="L3" s="1" t="s">
        <v>332</v>
      </c>
      <c r="M3" s="1" t="s">
        <v>333</v>
      </c>
      <c r="N3" s="1" t="s">
        <v>334</v>
      </c>
      <c r="O3" s="1"/>
      <c r="P3" s="1" t="s">
        <v>315</v>
      </c>
      <c r="Q3" s="1" t="s">
        <v>216</v>
      </c>
      <c r="R3" s="1" t="s">
        <v>436</v>
      </c>
      <c r="S3" s="1" t="s">
        <v>437</v>
      </c>
      <c r="T3" s="1" t="s">
        <v>438</v>
      </c>
      <c r="U3" s="1" t="s">
        <v>439</v>
      </c>
    </row>
    <row r="4" spans="1:21" x14ac:dyDescent="0.25">
      <c r="B4">
        <v>2010</v>
      </c>
      <c r="C4" t="s">
        <v>214</v>
      </c>
      <c r="D4">
        <f>ROUND(E4+F4,0)</f>
        <v>6</v>
      </c>
      <c r="E4">
        <f t="shared" ref="E4:E35" si="0">ROUND(F4*(1-p_screen_incid)/p_screen_incid,0)</f>
        <v>1</v>
      </c>
      <c r="F4">
        <v>5</v>
      </c>
      <c r="H4">
        <v>510</v>
      </c>
      <c r="I4">
        <v>23</v>
      </c>
      <c r="J4">
        <v>0.05</v>
      </c>
      <c r="M4">
        <v>102</v>
      </c>
      <c r="N4">
        <v>4.5999999999999996</v>
      </c>
      <c r="P4">
        <v>2010</v>
      </c>
      <c r="Q4" t="s">
        <v>214</v>
      </c>
      <c r="R4" s="16"/>
      <c r="S4" s="16"/>
      <c r="T4" s="16"/>
      <c r="U4" s="16"/>
    </row>
    <row r="5" spans="1:21" ht="18.75" x14ac:dyDescent="0.3">
      <c r="A5" s="26"/>
      <c r="B5">
        <v>2010</v>
      </c>
      <c r="C5" t="s">
        <v>319</v>
      </c>
      <c r="D5">
        <f t="shared" ref="D5:D54" si="1">ROUND(E5+F5,0)</f>
        <v>2</v>
      </c>
      <c r="E5">
        <f t="shared" si="0"/>
        <v>0</v>
      </c>
      <c r="F5">
        <v>2</v>
      </c>
      <c r="H5">
        <v>20</v>
      </c>
      <c r="I5">
        <v>0</v>
      </c>
      <c r="J5">
        <v>0</v>
      </c>
      <c r="M5">
        <v>10</v>
      </c>
      <c r="N5">
        <v>0</v>
      </c>
      <c r="P5">
        <v>2010</v>
      </c>
      <c r="Q5" t="s">
        <v>319</v>
      </c>
      <c r="R5" s="16"/>
      <c r="S5" s="16"/>
      <c r="T5" s="16"/>
      <c r="U5" s="16"/>
    </row>
    <row r="6" spans="1:21" x14ac:dyDescent="0.25">
      <c r="B6">
        <v>2010</v>
      </c>
      <c r="C6" t="s">
        <v>187</v>
      </c>
      <c r="D6">
        <f t="shared" si="1"/>
        <v>1</v>
      </c>
      <c r="E6">
        <f t="shared" si="0"/>
        <v>0</v>
      </c>
      <c r="F6">
        <v>1</v>
      </c>
      <c r="H6">
        <v>14</v>
      </c>
      <c r="I6">
        <v>0</v>
      </c>
      <c r="J6">
        <v>0</v>
      </c>
      <c r="M6">
        <v>14</v>
      </c>
      <c r="N6">
        <v>0</v>
      </c>
      <c r="P6">
        <v>2010</v>
      </c>
      <c r="Q6" t="s">
        <v>187</v>
      </c>
      <c r="R6" s="16"/>
      <c r="S6" s="16"/>
      <c r="T6" s="16"/>
      <c r="U6" s="16"/>
    </row>
    <row r="7" spans="1:21" x14ac:dyDescent="0.25">
      <c r="B7">
        <v>2010</v>
      </c>
      <c r="D7">
        <f t="shared" si="1"/>
        <v>9</v>
      </c>
      <c r="E7">
        <f t="shared" si="0"/>
        <v>1</v>
      </c>
      <c r="F7">
        <v>8</v>
      </c>
      <c r="H7">
        <v>544</v>
      </c>
      <c r="I7">
        <v>23</v>
      </c>
      <c r="J7">
        <v>0.04</v>
      </c>
      <c r="M7">
        <v>68</v>
      </c>
      <c r="N7">
        <v>2.88</v>
      </c>
      <c r="P7">
        <v>2010</v>
      </c>
      <c r="R7" s="16"/>
      <c r="S7" s="16"/>
      <c r="T7" s="16"/>
      <c r="U7" s="16"/>
    </row>
    <row r="8" spans="1:21" x14ac:dyDescent="0.25">
      <c r="B8">
        <v>2011</v>
      </c>
      <c r="C8" t="s">
        <v>343</v>
      </c>
      <c r="D8">
        <f t="shared" si="1"/>
        <v>1</v>
      </c>
      <c r="E8">
        <f t="shared" si="0"/>
        <v>0</v>
      </c>
      <c r="F8">
        <v>1</v>
      </c>
      <c r="H8">
        <v>37</v>
      </c>
      <c r="I8">
        <v>4</v>
      </c>
      <c r="J8">
        <v>0.11</v>
      </c>
      <c r="M8">
        <v>37</v>
      </c>
      <c r="N8">
        <v>4</v>
      </c>
      <c r="P8">
        <v>2011</v>
      </c>
      <c r="Q8" t="s">
        <v>343</v>
      </c>
      <c r="R8" s="16"/>
      <c r="S8" s="16"/>
      <c r="T8" s="16"/>
      <c r="U8" s="16"/>
    </row>
    <row r="9" spans="1:21" x14ac:dyDescent="0.25">
      <c r="B9">
        <v>2011</v>
      </c>
      <c r="C9" t="s">
        <v>214</v>
      </c>
      <c r="D9">
        <f t="shared" si="1"/>
        <v>14</v>
      </c>
      <c r="E9">
        <f t="shared" si="0"/>
        <v>2</v>
      </c>
      <c r="F9">
        <v>12</v>
      </c>
      <c r="H9">
        <v>2408</v>
      </c>
      <c r="I9">
        <v>167</v>
      </c>
      <c r="J9">
        <v>7.0000000000000007E-2</v>
      </c>
      <c r="M9">
        <v>200.67</v>
      </c>
      <c r="N9">
        <v>13.92</v>
      </c>
      <c r="P9">
        <v>2011</v>
      </c>
      <c r="Q9" t="s">
        <v>214</v>
      </c>
      <c r="R9" s="16"/>
      <c r="S9" s="16"/>
      <c r="T9" s="16"/>
      <c r="U9" s="16"/>
    </row>
    <row r="10" spans="1:21" x14ac:dyDescent="0.25">
      <c r="B10">
        <v>2011</v>
      </c>
      <c r="C10" t="s">
        <v>320</v>
      </c>
      <c r="D10">
        <f t="shared" si="1"/>
        <v>1</v>
      </c>
      <c r="E10">
        <f t="shared" si="0"/>
        <v>0</v>
      </c>
      <c r="F10">
        <v>1</v>
      </c>
      <c r="H10">
        <v>76</v>
      </c>
      <c r="I10">
        <v>0</v>
      </c>
      <c r="J10">
        <v>0</v>
      </c>
      <c r="M10">
        <v>76</v>
      </c>
      <c r="N10">
        <v>0</v>
      </c>
      <c r="P10">
        <v>2011</v>
      </c>
      <c r="Q10" t="s">
        <v>320</v>
      </c>
      <c r="R10" s="16"/>
      <c r="S10" s="16"/>
      <c r="T10" s="16"/>
      <c r="U10" s="16"/>
    </row>
    <row r="11" spans="1:21" x14ac:dyDescent="0.25">
      <c r="B11">
        <v>2011</v>
      </c>
      <c r="C11" t="s">
        <v>319</v>
      </c>
      <c r="D11">
        <f t="shared" si="1"/>
        <v>8</v>
      </c>
      <c r="E11">
        <f t="shared" si="0"/>
        <v>1</v>
      </c>
      <c r="F11">
        <v>7</v>
      </c>
      <c r="H11">
        <v>148</v>
      </c>
      <c r="I11">
        <v>20</v>
      </c>
      <c r="J11">
        <v>0.14000000000000001</v>
      </c>
      <c r="M11">
        <v>21.14</v>
      </c>
      <c r="N11">
        <v>2.86</v>
      </c>
      <c r="P11">
        <v>2011</v>
      </c>
      <c r="Q11" t="s">
        <v>319</v>
      </c>
      <c r="R11" s="16"/>
      <c r="S11" s="16"/>
      <c r="T11" s="16"/>
      <c r="U11" s="16"/>
    </row>
    <row r="12" spans="1:21" x14ac:dyDescent="0.25">
      <c r="B12">
        <v>2011</v>
      </c>
      <c r="D12">
        <f t="shared" si="1"/>
        <v>25</v>
      </c>
      <c r="E12">
        <f t="shared" si="0"/>
        <v>4</v>
      </c>
      <c r="F12">
        <v>21</v>
      </c>
      <c r="H12">
        <v>2669</v>
      </c>
      <c r="I12">
        <v>191</v>
      </c>
      <c r="J12">
        <v>7.0000000000000007E-2</v>
      </c>
      <c r="M12">
        <v>127.1</v>
      </c>
      <c r="N12">
        <v>9.1</v>
      </c>
      <c r="P12">
        <v>2011</v>
      </c>
      <c r="R12" s="16"/>
      <c r="S12" s="16"/>
      <c r="T12" s="16"/>
      <c r="U12" s="16"/>
    </row>
    <row r="13" spans="1:21" x14ac:dyDescent="0.25">
      <c r="B13">
        <v>2012</v>
      </c>
      <c r="C13" t="s">
        <v>343</v>
      </c>
      <c r="D13">
        <f t="shared" si="1"/>
        <v>2</v>
      </c>
      <c r="E13">
        <f t="shared" si="0"/>
        <v>0</v>
      </c>
      <c r="F13">
        <v>2</v>
      </c>
      <c r="H13">
        <v>67</v>
      </c>
      <c r="I13">
        <v>23</v>
      </c>
      <c r="J13">
        <v>0.34</v>
      </c>
      <c r="M13">
        <v>33.5</v>
      </c>
      <c r="N13">
        <v>11.5</v>
      </c>
      <c r="P13">
        <v>2012</v>
      </c>
      <c r="Q13" t="s">
        <v>343</v>
      </c>
      <c r="R13" s="16"/>
      <c r="S13" s="16"/>
      <c r="T13" s="16"/>
      <c r="U13" s="16"/>
    </row>
    <row r="14" spans="1:21" x14ac:dyDescent="0.25">
      <c r="B14">
        <v>2012</v>
      </c>
      <c r="C14" t="s">
        <v>214</v>
      </c>
      <c r="D14">
        <f t="shared" si="1"/>
        <v>18</v>
      </c>
      <c r="E14">
        <f t="shared" si="0"/>
        <v>3</v>
      </c>
      <c r="F14">
        <v>15</v>
      </c>
      <c r="H14">
        <v>854</v>
      </c>
      <c r="I14">
        <v>42</v>
      </c>
      <c r="J14">
        <v>0.05</v>
      </c>
      <c r="M14">
        <v>56.93</v>
      </c>
      <c r="N14">
        <v>2.8</v>
      </c>
      <c r="P14">
        <v>2012</v>
      </c>
      <c r="Q14" t="s">
        <v>214</v>
      </c>
      <c r="R14" s="16"/>
      <c r="S14" s="16"/>
      <c r="T14" s="16"/>
      <c r="U14" s="16"/>
    </row>
    <row r="15" spans="1:21" x14ac:dyDescent="0.25">
      <c r="B15">
        <v>2012</v>
      </c>
      <c r="C15" t="s">
        <v>320</v>
      </c>
      <c r="D15">
        <f t="shared" si="1"/>
        <v>2</v>
      </c>
      <c r="E15">
        <f t="shared" si="0"/>
        <v>0</v>
      </c>
      <c r="F15">
        <v>2</v>
      </c>
      <c r="H15">
        <v>21</v>
      </c>
      <c r="I15">
        <v>6</v>
      </c>
      <c r="J15">
        <v>0.28999999999999998</v>
      </c>
      <c r="M15">
        <v>10.5</v>
      </c>
      <c r="N15">
        <v>3</v>
      </c>
      <c r="P15">
        <v>2012</v>
      </c>
      <c r="Q15" t="s">
        <v>320</v>
      </c>
      <c r="R15" s="16"/>
      <c r="S15" s="16"/>
      <c r="T15" s="16"/>
      <c r="U15" s="16"/>
    </row>
    <row r="16" spans="1:21" x14ac:dyDescent="0.25">
      <c r="B16">
        <v>2012</v>
      </c>
      <c r="C16" t="s">
        <v>319</v>
      </c>
      <c r="D16">
        <f t="shared" si="1"/>
        <v>4</v>
      </c>
      <c r="E16">
        <f t="shared" si="0"/>
        <v>1</v>
      </c>
      <c r="F16">
        <v>3</v>
      </c>
      <c r="H16">
        <v>101</v>
      </c>
      <c r="I16">
        <v>4</v>
      </c>
      <c r="J16">
        <v>0.04</v>
      </c>
      <c r="M16">
        <v>33.67</v>
      </c>
      <c r="N16">
        <v>1.33</v>
      </c>
      <c r="P16">
        <v>2012</v>
      </c>
      <c r="Q16" t="s">
        <v>319</v>
      </c>
      <c r="R16" s="16"/>
      <c r="S16" s="16"/>
      <c r="T16" s="16"/>
      <c r="U16" s="16"/>
    </row>
    <row r="17" spans="2:21" x14ac:dyDescent="0.25">
      <c r="B17">
        <v>2012</v>
      </c>
      <c r="C17" t="s">
        <v>187</v>
      </c>
      <c r="D17">
        <f t="shared" si="1"/>
        <v>5</v>
      </c>
      <c r="E17">
        <f t="shared" si="0"/>
        <v>1</v>
      </c>
      <c r="F17">
        <v>4</v>
      </c>
      <c r="H17">
        <v>153</v>
      </c>
      <c r="I17">
        <v>17</v>
      </c>
      <c r="J17">
        <v>0.11</v>
      </c>
      <c r="M17">
        <v>38.25</v>
      </c>
      <c r="N17">
        <v>4.25</v>
      </c>
      <c r="P17">
        <v>2012</v>
      </c>
      <c r="Q17" t="s">
        <v>187</v>
      </c>
      <c r="R17" s="16"/>
      <c r="S17" s="16"/>
      <c r="T17" s="16"/>
      <c r="U17" s="16"/>
    </row>
    <row r="18" spans="2:21" x14ac:dyDescent="0.25">
      <c r="B18">
        <v>2012</v>
      </c>
      <c r="D18">
        <f t="shared" si="1"/>
        <v>31</v>
      </c>
      <c r="E18">
        <f t="shared" si="0"/>
        <v>5</v>
      </c>
      <c r="F18">
        <v>26</v>
      </c>
      <c r="H18">
        <v>1196</v>
      </c>
      <c r="I18">
        <v>92</v>
      </c>
      <c r="J18">
        <v>0.08</v>
      </c>
      <c r="M18">
        <v>46</v>
      </c>
      <c r="N18">
        <v>3.54</v>
      </c>
      <c r="P18">
        <v>2012</v>
      </c>
      <c r="R18" s="16"/>
      <c r="S18" s="16"/>
      <c r="T18" s="16"/>
      <c r="U18" s="16"/>
    </row>
    <row r="19" spans="2:21" x14ac:dyDescent="0.25">
      <c r="B19">
        <v>2013</v>
      </c>
      <c r="C19" t="s">
        <v>343</v>
      </c>
      <c r="D19">
        <f t="shared" si="1"/>
        <v>5</v>
      </c>
      <c r="E19">
        <f t="shared" si="0"/>
        <v>1</v>
      </c>
      <c r="F19">
        <v>4</v>
      </c>
      <c r="G19">
        <v>227</v>
      </c>
      <c r="H19">
        <v>225</v>
      </c>
      <c r="I19">
        <v>16</v>
      </c>
      <c r="J19">
        <v>7.0000000000000007E-2</v>
      </c>
      <c r="K19">
        <v>0.99</v>
      </c>
      <c r="L19">
        <v>56.75</v>
      </c>
      <c r="M19">
        <v>56.25</v>
      </c>
      <c r="N19">
        <v>4</v>
      </c>
      <c r="P19">
        <v>2013</v>
      </c>
      <c r="Q19" t="s">
        <v>343</v>
      </c>
      <c r="R19" s="123">
        <f>F19*(PATH_INVITE_BIRM(L19,M19,N19)*Pathways!M19 + PATH_SITE_BIRM(L19,M19,N19)*Pathways!N19) + E19*PATH_INFORM(G19)</f>
        <v>19540.200583040001</v>
      </c>
      <c r="S19" s="123">
        <f>R19/G19</f>
        <v>86.080178779911904</v>
      </c>
      <c r="T19" s="123">
        <f>R19/H19</f>
        <v>86.845335924622233</v>
      </c>
      <c r="U19" s="123">
        <f>R19/I19</f>
        <v>1221.2625364400001</v>
      </c>
    </row>
    <row r="20" spans="2:21" x14ac:dyDescent="0.25">
      <c r="B20">
        <v>2013</v>
      </c>
      <c r="C20" t="s">
        <v>214</v>
      </c>
      <c r="D20">
        <f t="shared" si="1"/>
        <v>19</v>
      </c>
      <c r="E20">
        <f t="shared" si="0"/>
        <v>3</v>
      </c>
      <c r="F20">
        <v>16</v>
      </c>
      <c r="G20">
        <v>584</v>
      </c>
      <c r="H20">
        <v>521</v>
      </c>
      <c r="I20">
        <v>11</v>
      </c>
      <c r="J20">
        <v>0.02</v>
      </c>
      <c r="K20">
        <v>0.89</v>
      </c>
      <c r="L20">
        <v>36.5</v>
      </c>
      <c r="M20">
        <v>32.56</v>
      </c>
      <c r="N20">
        <v>0.69</v>
      </c>
      <c r="P20">
        <v>2013</v>
      </c>
      <c r="Q20" t="s">
        <v>214</v>
      </c>
      <c r="R20" s="123">
        <f>F20*(PATH_INVITE_BIRM(L20,M20,N20)*Pathways!M20 + PATH_SITE_BIRM(L20,M20,N20)*Pathways!N20) + E20*PATH_INFORM(G20)</f>
        <v>58715.980791039998</v>
      </c>
      <c r="S20" s="123">
        <f t="shared" ref="S20:S54" si="2">R20/G20</f>
        <v>100.54106299835615</v>
      </c>
      <c r="T20" s="123">
        <f t="shared" ref="T20:T54" si="3">R20/H20</f>
        <v>112.69861956053742</v>
      </c>
      <c r="U20" s="123">
        <f t="shared" ref="U20:U54" si="4">R20/I20</f>
        <v>5337.8164355490908</v>
      </c>
    </row>
    <row r="21" spans="2:21" x14ac:dyDescent="0.25">
      <c r="B21">
        <v>2013</v>
      </c>
      <c r="C21" t="s">
        <v>320</v>
      </c>
      <c r="D21">
        <f t="shared" si="1"/>
        <v>7</v>
      </c>
      <c r="E21">
        <f t="shared" si="0"/>
        <v>1</v>
      </c>
      <c r="F21">
        <v>6</v>
      </c>
      <c r="G21">
        <v>88</v>
      </c>
      <c r="H21">
        <v>70</v>
      </c>
      <c r="I21">
        <v>4</v>
      </c>
      <c r="J21">
        <v>0.06</v>
      </c>
      <c r="K21">
        <v>0.8</v>
      </c>
      <c r="L21">
        <v>14.67</v>
      </c>
      <c r="M21">
        <v>11.67</v>
      </c>
      <c r="N21">
        <v>0.67</v>
      </c>
      <c r="P21">
        <v>2013</v>
      </c>
      <c r="Q21" t="s">
        <v>320</v>
      </c>
      <c r="R21" s="123">
        <f>F21*(PATH_INVITE_BIRM(L21,M21,N21)*Pathways!M21 + PATH_SITE_BIRM(L21,M21,N21)*Pathways!N21) + E21*PATH_INFORM(G21)</f>
        <v>12682.04352576</v>
      </c>
      <c r="S21" s="123">
        <f t="shared" si="2"/>
        <v>144.11413097454545</v>
      </c>
      <c r="T21" s="123">
        <f t="shared" si="3"/>
        <v>181.17205036800001</v>
      </c>
      <c r="U21" s="123">
        <f t="shared" si="4"/>
        <v>3170.51088144</v>
      </c>
    </row>
    <row r="22" spans="2:21" x14ac:dyDescent="0.25">
      <c r="B22">
        <v>2013</v>
      </c>
      <c r="C22" t="s">
        <v>319</v>
      </c>
      <c r="D22">
        <f t="shared" si="1"/>
        <v>4</v>
      </c>
      <c r="E22">
        <f t="shared" si="0"/>
        <v>1</v>
      </c>
      <c r="F22">
        <v>3</v>
      </c>
      <c r="G22">
        <v>30</v>
      </c>
      <c r="H22">
        <v>26</v>
      </c>
      <c r="I22">
        <v>1</v>
      </c>
      <c r="J22">
        <v>0.04</v>
      </c>
      <c r="K22">
        <v>0.87</v>
      </c>
      <c r="L22">
        <v>10</v>
      </c>
      <c r="M22">
        <v>8.67</v>
      </c>
      <c r="N22">
        <v>0.33</v>
      </c>
      <c r="P22">
        <v>2013</v>
      </c>
      <c r="Q22" t="s">
        <v>319</v>
      </c>
      <c r="R22" s="123">
        <f>F22*(PATH_INVITE_BIRM(L22,M22,N22)*Pathways!M22 + PATH_SITE_BIRM(L22,M22,N22)*Pathways!N22) + E22*PATH_INFORM(G22)</f>
        <v>5733.0331055999995</v>
      </c>
      <c r="S22" s="123">
        <f t="shared" si="2"/>
        <v>191.10110351999998</v>
      </c>
      <c r="T22" s="123">
        <f t="shared" si="3"/>
        <v>220.50127329230767</v>
      </c>
      <c r="U22" s="123">
        <f t="shared" si="4"/>
        <v>5733.0331055999995</v>
      </c>
    </row>
    <row r="23" spans="2:21" x14ac:dyDescent="0.25">
      <c r="B23">
        <v>2013</v>
      </c>
      <c r="C23" t="s">
        <v>187</v>
      </c>
      <c r="D23">
        <f t="shared" si="1"/>
        <v>1</v>
      </c>
      <c r="E23">
        <f t="shared" si="0"/>
        <v>0</v>
      </c>
      <c r="F23">
        <v>1</v>
      </c>
      <c r="G23">
        <v>8</v>
      </c>
      <c r="H23">
        <v>8</v>
      </c>
      <c r="I23">
        <v>2</v>
      </c>
      <c r="J23">
        <v>0.25</v>
      </c>
      <c r="K23">
        <v>1</v>
      </c>
      <c r="L23">
        <v>8</v>
      </c>
      <c r="M23">
        <v>8</v>
      </c>
      <c r="N23">
        <v>2</v>
      </c>
      <c r="P23">
        <v>2013</v>
      </c>
      <c r="Q23" t="s">
        <v>187</v>
      </c>
      <c r="R23" s="123">
        <f>F23*(PATH_INVITE_BIRM(L23,M23,N23)*Pathways!M23 + PATH_SITE_BIRM(L23,M23,N23)*Pathways!N23) + E23*PATH_INFORM(G23)</f>
        <v>1930.4634799999999</v>
      </c>
      <c r="S23" s="123">
        <f t="shared" si="2"/>
        <v>241.30793499999999</v>
      </c>
      <c r="T23" s="123">
        <f t="shared" si="3"/>
        <v>241.30793499999999</v>
      </c>
      <c r="U23" s="123">
        <f t="shared" si="4"/>
        <v>965.23173999999995</v>
      </c>
    </row>
    <row r="24" spans="2:21" x14ac:dyDescent="0.25">
      <c r="B24">
        <v>2013</v>
      </c>
      <c r="D24">
        <f t="shared" si="1"/>
        <v>35</v>
      </c>
      <c r="E24">
        <f t="shared" si="0"/>
        <v>5</v>
      </c>
      <c r="F24">
        <v>30</v>
      </c>
      <c r="G24">
        <v>937</v>
      </c>
      <c r="H24">
        <v>850</v>
      </c>
      <c r="I24">
        <v>34</v>
      </c>
      <c r="J24">
        <v>0.04</v>
      </c>
      <c r="K24">
        <v>0.91</v>
      </c>
      <c r="L24">
        <v>31.23</v>
      </c>
      <c r="M24">
        <v>28.33</v>
      </c>
      <c r="N24">
        <v>1.1299999999999999</v>
      </c>
      <c r="P24">
        <v>2013</v>
      </c>
      <c r="R24" s="123">
        <f>F24*(PATH_INVITE_BIRM(L24,M24,N24)*Pathways!M24 + PATH_SITE_BIRM(L24,M24,N24)*Pathways!N24) + E24*PATH_INFORM(G24)</f>
        <v>109879.2353112</v>
      </c>
      <c r="S24" s="123">
        <f t="shared" si="2"/>
        <v>117.26706009733191</v>
      </c>
      <c r="T24" s="123">
        <f t="shared" si="3"/>
        <v>129.26968860141176</v>
      </c>
      <c r="U24" s="123">
        <f t="shared" si="4"/>
        <v>3231.7422150352941</v>
      </c>
    </row>
    <row r="25" spans="2:21" x14ac:dyDescent="0.25">
      <c r="B25">
        <v>2014</v>
      </c>
      <c r="C25" t="s">
        <v>343</v>
      </c>
      <c r="D25">
        <f t="shared" si="1"/>
        <v>2</v>
      </c>
      <c r="E25">
        <f t="shared" si="0"/>
        <v>0</v>
      </c>
      <c r="F25">
        <v>2</v>
      </c>
      <c r="G25">
        <v>13</v>
      </c>
      <c r="H25">
        <v>12</v>
      </c>
      <c r="I25">
        <v>1</v>
      </c>
      <c r="J25">
        <v>0.08</v>
      </c>
      <c r="K25">
        <v>0.92</v>
      </c>
      <c r="L25">
        <v>6.5</v>
      </c>
      <c r="M25">
        <v>6</v>
      </c>
      <c r="N25">
        <v>0.5</v>
      </c>
      <c r="P25">
        <v>2014</v>
      </c>
      <c r="Q25" t="s">
        <v>343</v>
      </c>
      <c r="R25" s="123">
        <f>F25*(PATH_INVITE_BIRM(L25,M25,N25)*Pathways!M25 + PATH_SITE_BIRM(L25,M25,N25)*Pathways!N25) + E25*PATH_INFORM(G25)</f>
        <v>3474.02594</v>
      </c>
      <c r="S25" s="123">
        <f t="shared" si="2"/>
        <v>267.23276461538461</v>
      </c>
      <c r="T25" s="123">
        <f t="shared" si="3"/>
        <v>289.50216166666667</v>
      </c>
      <c r="U25" s="123">
        <f t="shared" si="4"/>
        <v>3474.02594</v>
      </c>
    </row>
    <row r="26" spans="2:21" x14ac:dyDescent="0.25">
      <c r="B26">
        <v>2014</v>
      </c>
      <c r="C26" t="s">
        <v>214</v>
      </c>
      <c r="D26">
        <f t="shared" si="1"/>
        <v>13</v>
      </c>
      <c r="E26">
        <f t="shared" si="0"/>
        <v>2</v>
      </c>
      <c r="F26">
        <v>11</v>
      </c>
      <c r="G26">
        <v>1307</v>
      </c>
      <c r="H26">
        <v>1077</v>
      </c>
      <c r="I26">
        <v>126</v>
      </c>
      <c r="J26">
        <v>0.12</v>
      </c>
      <c r="K26">
        <v>0.82</v>
      </c>
      <c r="L26">
        <v>118.82</v>
      </c>
      <c r="M26">
        <v>97.91</v>
      </c>
      <c r="N26">
        <v>11.45</v>
      </c>
      <c r="P26">
        <v>2014</v>
      </c>
      <c r="Q26" t="s">
        <v>214</v>
      </c>
      <c r="R26" s="123">
        <f>F26*(PATH_INVITE_BIRM(L26,M26,N26)*Pathways!M26 + PATH_SITE_BIRM(L26,M26,N26)*Pathways!N26) + E26*PATH_INFORM(G26)</f>
        <v>91652.796449279995</v>
      </c>
      <c r="S26" s="123">
        <f t="shared" si="2"/>
        <v>70.124557344514145</v>
      </c>
      <c r="T26" s="123">
        <f t="shared" si="3"/>
        <v>85.100089553649013</v>
      </c>
      <c r="U26" s="123">
        <f t="shared" si="4"/>
        <v>727.40314642285705</v>
      </c>
    </row>
    <row r="27" spans="2:21" x14ac:dyDescent="0.25">
      <c r="B27">
        <v>2014</v>
      </c>
      <c r="C27" t="s">
        <v>320</v>
      </c>
      <c r="D27">
        <f t="shared" si="1"/>
        <v>8</v>
      </c>
      <c r="E27">
        <f t="shared" si="0"/>
        <v>1</v>
      </c>
      <c r="F27">
        <v>7</v>
      </c>
      <c r="G27">
        <v>108</v>
      </c>
      <c r="H27">
        <v>94</v>
      </c>
      <c r="I27">
        <v>2</v>
      </c>
      <c r="J27">
        <v>0.02</v>
      </c>
      <c r="K27">
        <v>0.87</v>
      </c>
      <c r="L27">
        <v>15.43</v>
      </c>
      <c r="M27">
        <v>13.43</v>
      </c>
      <c r="N27">
        <v>0.28999999999999998</v>
      </c>
      <c r="P27">
        <v>2014</v>
      </c>
      <c r="Q27" t="s">
        <v>320</v>
      </c>
      <c r="R27" s="123">
        <f>F27*(PATH_INVITE_BIRM(L27,M27,N27)*Pathways!M27 + PATH_SITE_BIRM(L27,M27,N27)*Pathways!N27) + E27*PATH_INFORM(G27)</f>
        <v>15283.19103616</v>
      </c>
      <c r="S27" s="123">
        <f t="shared" si="2"/>
        <v>141.51102811259258</v>
      </c>
      <c r="T27" s="123">
        <f t="shared" si="3"/>
        <v>162.58713868255319</v>
      </c>
      <c r="U27" s="123">
        <f t="shared" si="4"/>
        <v>7641.5955180800001</v>
      </c>
    </row>
    <row r="28" spans="2:21" x14ac:dyDescent="0.25">
      <c r="B28">
        <v>2014</v>
      </c>
      <c r="C28" t="s">
        <v>319</v>
      </c>
      <c r="D28">
        <f t="shared" si="1"/>
        <v>6</v>
      </c>
      <c r="E28">
        <f t="shared" si="0"/>
        <v>1</v>
      </c>
      <c r="F28">
        <v>5</v>
      </c>
      <c r="G28">
        <v>37</v>
      </c>
      <c r="H28">
        <v>18</v>
      </c>
      <c r="I28">
        <v>4</v>
      </c>
      <c r="J28">
        <v>0.22</v>
      </c>
      <c r="K28">
        <v>0.49</v>
      </c>
      <c r="L28">
        <v>7.4</v>
      </c>
      <c r="M28">
        <v>3.6</v>
      </c>
      <c r="N28">
        <v>0.8</v>
      </c>
      <c r="P28">
        <v>2014</v>
      </c>
      <c r="Q28" t="s">
        <v>319</v>
      </c>
      <c r="R28" s="123">
        <f>F28*(PATH_INVITE_BIRM(L28,M28,N28)*Pathways!M28 + PATH_SITE_BIRM(L28,M28,N28)*Pathways!N28) + E28*PATH_INFORM(G28)</f>
        <v>8349.7865242400003</v>
      </c>
      <c r="S28" s="123">
        <f t="shared" si="2"/>
        <v>225.66990606054054</v>
      </c>
      <c r="T28" s="123">
        <f t="shared" si="3"/>
        <v>463.87702912444445</v>
      </c>
      <c r="U28" s="123">
        <f t="shared" si="4"/>
        <v>2087.4466310600001</v>
      </c>
    </row>
    <row r="29" spans="2:21" x14ac:dyDescent="0.25">
      <c r="B29">
        <v>2014</v>
      </c>
      <c r="C29" t="s">
        <v>187</v>
      </c>
      <c r="D29">
        <f t="shared" si="1"/>
        <v>15</v>
      </c>
      <c r="E29">
        <f t="shared" si="0"/>
        <v>2</v>
      </c>
      <c r="F29">
        <v>13</v>
      </c>
      <c r="G29">
        <v>209</v>
      </c>
      <c r="H29">
        <v>148</v>
      </c>
      <c r="I29">
        <v>7</v>
      </c>
      <c r="J29">
        <v>0.05</v>
      </c>
      <c r="K29">
        <v>0.71</v>
      </c>
      <c r="L29">
        <v>16.079999999999998</v>
      </c>
      <c r="M29">
        <v>11.38</v>
      </c>
      <c r="N29">
        <v>0.54</v>
      </c>
      <c r="P29">
        <v>2014</v>
      </c>
      <c r="Q29" t="s">
        <v>187</v>
      </c>
      <c r="R29" s="123">
        <f>F29*(PATH_INVITE_BIRM(L29,M29,N29)*Pathways!M29 + PATH_SITE_BIRM(L29,M29,N29)*Pathways!N29) + E29*PATH_INFORM(G29)</f>
        <v>28185.663657360001</v>
      </c>
      <c r="S29" s="123">
        <f t="shared" si="2"/>
        <v>134.85963472421054</v>
      </c>
      <c r="T29" s="123">
        <f t="shared" si="3"/>
        <v>190.44367336054054</v>
      </c>
      <c r="U29" s="123">
        <f t="shared" si="4"/>
        <v>4026.5233796228572</v>
      </c>
    </row>
    <row r="30" spans="2:21" x14ac:dyDescent="0.25">
      <c r="B30">
        <v>2014</v>
      </c>
      <c r="D30">
        <f t="shared" si="1"/>
        <v>45</v>
      </c>
      <c r="E30">
        <f t="shared" si="0"/>
        <v>7</v>
      </c>
      <c r="F30">
        <v>38</v>
      </c>
      <c r="G30">
        <v>1674</v>
      </c>
      <c r="H30">
        <v>1349</v>
      </c>
      <c r="I30">
        <v>140</v>
      </c>
      <c r="J30">
        <v>0.1</v>
      </c>
      <c r="K30">
        <v>0.81</v>
      </c>
      <c r="L30">
        <v>44.05</v>
      </c>
      <c r="M30">
        <v>35.5</v>
      </c>
      <c r="N30">
        <v>3.68</v>
      </c>
      <c r="P30">
        <v>2014</v>
      </c>
      <c r="R30" s="123">
        <f>F30*(PATH_INVITE_BIRM(L30,M30,N30)*Pathways!M30 + PATH_SITE_BIRM(L30,M30,N30)*Pathways!N30) + E30*PATH_INFORM(G30)</f>
        <v>183821.28680335998</v>
      </c>
      <c r="S30" s="123">
        <f t="shared" si="2"/>
        <v>109.80960979890082</v>
      </c>
      <c r="T30" s="123">
        <f t="shared" si="3"/>
        <v>136.26485307884357</v>
      </c>
      <c r="U30" s="123">
        <f t="shared" si="4"/>
        <v>1313.0091914525713</v>
      </c>
    </row>
    <row r="31" spans="2:21" x14ac:dyDescent="0.25">
      <c r="B31">
        <v>2015</v>
      </c>
      <c r="C31" t="s">
        <v>343</v>
      </c>
      <c r="D31">
        <f t="shared" si="1"/>
        <v>6</v>
      </c>
      <c r="E31">
        <f t="shared" si="0"/>
        <v>1</v>
      </c>
      <c r="F31">
        <v>5</v>
      </c>
      <c r="G31">
        <v>65</v>
      </c>
      <c r="H31">
        <v>49</v>
      </c>
      <c r="I31">
        <v>4</v>
      </c>
      <c r="J31">
        <v>0.08</v>
      </c>
      <c r="K31">
        <v>0.75</v>
      </c>
      <c r="L31">
        <v>13</v>
      </c>
      <c r="M31">
        <v>9.8000000000000007</v>
      </c>
      <c r="N31">
        <v>0.8</v>
      </c>
      <c r="P31">
        <v>2015</v>
      </c>
      <c r="Q31" t="s">
        <v>343</v>
      </c>
      <c r="R31" s="123">
        <f>F31*(PATH_INVITE_BIRM(L31,M31,N31)*Pathways!M31 + PATH_SITE_BIRM(L31,M31,N31)*Pathways!N31) + E31*PATH_INFORM(G31)</f>
        <v>10084.8061588</v>
      </c>
      <c r="S31" s="123">
        <f t="shared" si="2"/>
        <v>155.15086398153846</v>
      </c>
      <c r="T31" s="123">
        <f t="shared" si="3"/>
        <v>205.81237058775511</v>
      </c>
      <c r="U31" s="123">
        <f t="shared" si="4"/>
        <v>2521.2015397</v>
      </c>
    </row>
    <row r="32" spans="2:21" x14ac:dyDescent="0.25">
      <c r="B32">
        <v>2015</v>
      </c>
      <c r="C32" t="s">
        <v>214</v>
      </c>
      <c r="D32">
        <f t="shared" si="1"/>
        <v>7</v>
      </c>
      <c r="E32">
        <f t="shared" si="0"/>
        <v>1</v>
      </c>
      <c r="F32">
        <v>6</v>
      </c>
      <c r="G32">
        <v>1379</v>
      </c>
      <c r="H32">
        <v>1306</v>
      </c>
      <c r="I32">
        <v>57</v>
      </c>
      <c r="J32">
        <v>0.04</v>
      </c>
      <c r="K32">
        <v>0.95</v>
      </c>
      <c r="L32">
        <v>229.83</v>
      </c>
      <c r="M32">
        <v>217.67</v>
      </c>
      <c r="N32">
        <v>9.5</v>
      </c>
      <c r="P32">
        <v>2015</v>
      </c>
      <c r="Q32" t="s">
        <v>214</v>
      </c>
      <c r="R32" s="123">
        <f>F32*(PATH_INVITE_BIRM(L32,M32,N32)*Pathways!M32 + PATH_SITE_BIRM(L32,M32,N32)*Pathways!N32) + E32*PATH_INFORM(G32)</f>
        <v>98365.262962080014</v>
      </c>
      <c r="S32" s="123">
        <f t="shared" si="2"/>
        <v>71.330865092153743</v>
      </c>
      <c r="T32" s="123">
        <f t="shared" si="3"/>
        <v>75.317965514609512</v>
      </c>
      <c r="U32" s="123">
        <f t="shared" si="4"/>
        <v>1725.7063677557896</v>
      </c>
    </row>
    <row r="33" spans="2:21" x14ac:dyDescent="0.25">
      <c r="B33">
        <v>2015</v>
      </c>
      <c r="C33" t="s">
        <v>320</v>
      </c>
      <c r="D33">
        <f t="shared" si="1"/>
        <v>4</v>
      </c>
      <c r="E33">
        <f t="shared" si="0"/>
        <v>1</v>
      </c>
      <c r="F33">
        <v>3</v>
      </c>
      <c r="G33">
        <v>79</v>
      </c>
      <c r="H33">
        <v>75</v>
      </c>
      <c r="I33">
        <v>2</v>
      </c>
      <c r="J33">
        <v>0.03</v>
      </c>
      <c r="K33">
        <v>0.95</v>
      </c>
      <c r="L33">
        <v>26.33</v>
      </c>
      <c r="M33">
        <v>25</v>
      </c>
      <c r="N33">
        <v>0.67</v>
      </c>
      <c r="P33">
        <v>2015</v>
      </c>
      <c r="Q33" t="s">
        <v>320</v>
      </c>
      <c r="R33" s="123">
        <f>F33*(PATH_INVITE_BIRM(L33,M33,N33)*Pathways!M33 + PATH_SITE_BIRM(L33,M33,N33)*Pathways!N33) + E33*PATH_INFORM(G33)</f>
        <v>8570.9137060800003</v>
      </c>
      <c r="S33" s="123">
        <f t="shared" si="2"/>
        <v>108.49257855797468</v>
      </c>
      <c r="T33" s="123">
        <f t="shared" si="3"/>
        <v>114.2788494144</v>
      </c>
      <c r="U33" s="123">
        <f t="shared" si="4"/>
        <v>4285.4568530400002</v>
      </c>
    </row>
    <row r="34" spans="2:21" x14ac:dyDescent="0.25">
      <c r="B34">
        <v>2015</v>
      </c>
      <c r="C34" t="s">
        <v>319</v>
      </c>
      <c r="D34">
        <f t="shared" si="1"/>
        <v>4</v>
      </c>
      <c r="E34">
        <f t="shared" si="0"/>
        <v>1</v>
      </c>
      <c r="F34">
        <v>3</v>
      </c>
      <c r="G34">
        <v>31</v>
      </c>
      <c r="H34">
        <v>17</v>
      </c>
      <c r="I34">
        <v>1</v>
      </c>
      <c r="J34">
        <v>0.06</v>
      </c>
      <c r="K34">
        <v>0.55000000000000004</v>
      </c>
      <c r="L34">
        <v>10.33</v>
      </c>
      <c r="M34">
        <v>5.67</v>
      </c>
      <c r="N34">
        <v>0.33</v>
      </c>
      <c r="P34">
        <v>2015</v>
      </c>
      <c r="Q34" t="s">
        <v>319</v>
      </c>
      <c r="R34" s="123">
        <f>F34*(PATH_INVITE_BIRM(L34,M34,N34)*Pathways!M34 + PATH_SITE_BIRM(L34,M34,N34)*Pathways!N34) + E34*PATH_INFORM(G34)</f>
        <v>5296.2753511199999</v>
      </c>
      <c r="S34" s="123">
        <f t="shared" si="2"/>
        <v>170.8475919716129</v>
      </c>
      <c r="T34" s="123">
        <f t="shared" si="3"/>
        <v>311.54560888941177</v>
      </c>
      <c r="U34" s="123">
        <f t="shared" si="4"/>
        <v>5296.2753511199999</v>
      </c>
    </row>
    <row r="35" spans="2:21" x14ac:dyDescent="0.25">
      <c r="B35">
        <v>2015</v>
      </c>
      <c r="C35" t="s">
        <v>187</v>
      </c>
      <c r="D35">
        <f t="shared" si="1"/>
        <v>2</v>
      </c>
      <c r="E35">
        <f t="shared" si="0"/>
        <v>0</v>
      </c>
      <c r="F35">
        <v>2</v>
      </c>
      <c r="G35">
        <v>55</v>
      </c>
      <c r="H35">
        <v>51</v>
      </c>
      <c r="I35">
        <v>0</v>
      </c>
      <c r="J35">
        <v>0</v>
      </c>
      <c r="K35">
        <v>0.93</v>
      </c>
      <c r="L35">
        <v>27.5</v>
      </c>
      <c r="M35">
        <v>25.5</v>
      </c>
      <c r="N35">
        <v>0</v>
      </c>
      <c r="P35">
        <v>2015</v>
      </c>
      <c r="Q35" t="s">
        <v>187</v>
      </c>
      <c r="R35" s="123">
        <f>F35*(PATH_INVITE_BIRM(L35,M35,N35)*Pathways!M35 + PATH_SITE_BIRM(L35,M35,N35)*Pathways!N35) + E35*PATH_INFORM(G35)</f>
        <v>5600.1992200000004</v>
      </c>
      <c r="S35" s="123">
        <f t="shared" si="2"/>
        <v>101.82180400000001</v>
      </c>
      <c r="T35" s="123">
        <f t="shared" si="3"/>
        <v>109.80782784313726</v>
      </c>
      <c r="U35" s="123"/>
    </row>
    <row r="36" spans="2:21" x14ac:dyDescent="0.25">
      <c r="B36">
        <v>2015</v>
      </c>
      <c r="D36">
        <f t="shared" si="1"/>
        <v>22</v>
      </c>
      <c r="E36">
        <f t="shared" ref="E36:E54" si="5">ROUND(F36*(1-p_screen_incid)/p_screen_incid,0)</f>
        <v>3</v>
      </c>
      <c r="F36">
        <v>19</v>
      </c>
      <c r="G36">
        <v>1609</v>
      </c>
      <c r="H36">
        <v>1498</v>
      </c>
      <c r="I36">
        <v>64</v>
      </c>
      <c r="J36">
        <v>0.04</v>
      </c>
      <c r="K36">
        <v>0.93</v>
      </c>
      <c r="L36">
        <v>84.68</v>
      </c>
      <c r="M36">
        <v>78.84</v>
      </c>
      <c r="N36">
        <v>3.37</v>
      </c>
      <c r="P36">
        <v>2015</v>
      </c>
      <c r="R36" s="123">
        <f>F36*(PATH_INVITE_BIRM(L36,M36,N36)*Pathways!M36 + PATH_SITE_BIRM(L36,M36,N36)*Pathways!N36) + E36*PATH_INFORM(G36)</f>
        <v>130422.80476504</v>
      </c>
      <c r="S36" s="123">
        <f t="shared" si="2"/>
        <v>81.058300040422623</v>
      </c>
      <c r="T36" s="123">
        <f t="shared" si="3"/>
        <v>87.064622673591458</v>
      </c>
      <c r="U36" s="123">
        <f t="shared" si="4"/>
        <v>2037.8563244537499</v>
      </c>
    </row>
    <row r="37" spans="2:21" x14ac:dyDescent="0.25">
      <c r="B37">
        <v>2016</v>
      </c>
      <c r="C37" t="s">
        <v>343</v>
      </c>
      <c r="D37">
        <f t="shared" si="1"/>
        <v>1</v>
      </c>
      <c r="E37">
        <f t="shared" si="5"/>
        <v>0</v>
      </c>
      <c r="F37">
        <v>1</v>
      </c>
      <c r="G37">
        <v>8</v>
      </c>
      <c r="H37">
        <v>8</v>
      </c>
      <c r="I37">
        <v>0</v>
      </c>
      <c r="J37">
        <v>0</v>
      </c>
      <c r="K37">
        <v>1</v>
      </c>
      <c r="L37">
        <v>8</v>
      </c>
      <c r="M37">
        <v>8</v>
      </c>
      <c r="N37">
        <v>0</v>
      </c>
      <c r="P37">
        <v>2016</v>
      </c>
      <c r="Q37" t="s">
        <v>343</v>
      </c>
      <c r="R37" s="123">
        <f>F37*(PATH_INVITE_BIRM(L37,M37,N37)*Pathways!M37 + PATH_SITE_BIRM(L37,M37,N37)*Pathways!N37) + E37*PATH_INFORM(G37)</f>
        <v>1810.54348</v>
      </c>
      <c r="S37" s="123">
        <f t="shared" si="2"/>
        <v>226.31793500000001</v>
      </c>
      <c r="T37" s="123">
        <f t="shared" si="3"/>
        <v>226.31793500000001</v>
      </c>
      <c r="U37" s="104"/>
    </row>
    <row r="38" spans="2:21" x14ac:dyDescent="0.25">
      <c r="B38">
        <v>2016</v>
      </c>
      <c r="C38" t="s">
        <v>214</v>
      </c>
      <c r="D38">
        <f t="shared" si="1"/>
        <v>7</v>
      </c>
      <c r="E38">
        <f t="shared" si="5"/>
        <v>1</v>
      </c>
      <c r="F38">
        <v>6</v>
      </c>
      <c r="G38">
        <v>202</v>
      </c>
      <c r="H38">
        <v>157</v>
      </c>
      <c r="I38">
        <v>5</v>
      </c>
      <c r="J38">
        <v>0.03</v>
      </c>
      <c r="K38">
        <v>0.78</v>
      </c>
      <c r="L38">
        <v>33.67</v>
      </c>
      <c r="M38">
        <v>26.17</v>
      </c>
      <c r="N38">
        <v>0.83</v>
      </c>
      <c r="P38">
        <v>2016</v>
      </c>
      <c r="Q38" t="s">
        <v>214</v>
      </c>
      <c r="R38" s="123">
        <f>F38*(PATH_INVITE_BIRM(L38,M38,N38)*Pathways!M38 + PATH_SITE_BIRM(L38,M38,N38)*Pathways!N38) + E38*PATH_INFORM(G38)</f>
        <v>18248.642375039995</v>
      </c>
      <c r="S38" s="123">
        <f t="shared" si="2"/>
        <v>90.339813737821757</v>
      </c>
      <c r="T38" s="123">
        <f t="shared" si="3"/>
        <v>116.23339092382163</v>
      </c>
      <c r="U38" s="123">
        <f t="shared" si="4"/>
        <v>3649.7284750079989</v>
      </c>
    </row>
    <row r="39" spans="2:21" x14ac:dyDescent="0.25">
      <c r="B39">
        <v>2016</v>
      </c>
      <c r="C39" t="s">
        <v>320</v>
      </c>
      <c r="D39">
        <f t="shared" si="1"/>
        <v>11</v>
      </c>
      <c r="E39">
        <f t="shared" si="5"/>
        <v>2</v>
      </c>
      <c r="F39">
        <v>9</v>
      </c>
      <c r="G39">
        <v>195</v>
      </c>
      <c r="H39">
        <v>157</v>
      </c>
      <c r="I39">
        <v>21</v>
      </c>
      <c r="J39">
        <v>0.13</v>
      </c>
      <c r="K39">
        <v>0.81</v>
      </c>
      <c r="L39">
        <v>21.67</v>
      </c>
      <c r="M39">
        <v>17.440000000000001</v>
      </c>
      <c r="N39">
        <v>2.33</v>
      </c>
      <c r="P39">
        <v>2016</v>
      </c>
      <c r="Q39" t="s">
        <v>320</v>
      </c>
      <c r="R39" s="123">
        <f>F39*(PATH_INVITE_BIRM(L39,M39,N39)*Pathways!M39 + PATH_SITE_BIRM(L39,M39,N39)*Pathways!N39) + E39*PATH_INFORM(G39)</f>
        <v>23746.485952799994</v>
      </c>
      <c r="S39" s="123">
        <f t="shared" si="2"/>
        <v>121.77685103999997</v>
      </c>
      <c r="T39" s="123">
        <f t="shared" si="3"/>
        <v>151.25150288407639</v>
      </c>
      <c r="U39" s="123">
        <f t="shared" si="4"/>
        <v>1130.7850453714284</v>
      </c>
    </row>
    <row r="40" spans="2:21" x14ac:dyDescent="0.25">
      <c r="B40">
        <v>2016</v>
      </c>
      <c r="C40" t="s">
        <v>319</v>
      </c>
      <c r="D40">
        <f t="shared" si="1"/>
        <v>2</v>
      </c>
      <c r="E40">
        <f t="shared" si="5"/>
        <v>0</v>
      </c>
      <c r="F40">
        <v>2</v>
      </c>
      <c r="G40">
        <v>77</v>
      </c>
      <c r="H40">
        <v>59</v>
      </c>
      <c r="I40">
        <v>3</v>
      </c>
      <c r="J40">
        <v>0.05</v>
      </c>
      <c r="K40">
        <v>0.77</v>
      </c>
      <c r="L40">
        <v>38.5</v>
      </c>
      <c r="M40">
        <v>29.5</v>
      </c>
      <c r="N40">
        <v>1.5</v>
      </c>
      <c r="P40">
        <v>2016</v>
      </c>
      <c r="Q40" t="s">
        <v>319</v>
      </c>
      <c r="R40" s="123">
        <f>F40*(PATH_INVITE_BIRM(L40,M40,N40)*Pathways!M40 + PATH_SITE_BIRM(L40,M40,N40)*Pathways!N40) + E40*PATH_INFORM(G40)</f>
        <v>6245.6375200000002</v>
      </c>
      <c r="S40" s="123">
        <f t="shared" si="2"/>
        <v>81.112175584415581</v>
      </c>
      <c r="T40" s="123">
        <f t="shared" si="3"/>
        <v>105.85826305084746</v>
      </c>
      <c r="U40" s="123">
        <f t="shared" si="4"/>
        <v>2081.8791733333333</v>
      </c>
    </row>
    <row r="41" spans="2:21" x14ac:dyDescent="0.25">
      <c r="B41">
        <v>2016</v>
      </c>
      <c r="C41" t="s">
        <v>187</v>
      </c>
      <c r="D41">
        <f t="shared" si="1"/>
        <v>4</v>
      </c>
      <c r="E41">
        <f t="shared" si="5"/>
        <v>1</v>
      </c>
      <c r="F41">
        <v>3</v>
      </c>
      <c r="G41">
        <v>193</v>
      </c>
      <c r="H41">
        <v>185</v>
      </c>
      <c r="I41">
        <v>8</v>
      </c>
      <c r="J41">
        <v>0.04</v>
      </c>
      <c r="K41">
        <v>0.96</v>
      </c>
      <c r="L41">
        <v>64.33</v>
      </c>
      <c r="M41">
        <v>61.67</v>
      </c>
      <c r="N41">
        <v>2.67</v>
      </c>
      <c r="P41">
        <v>2016</v>
      </c>
      <c r="Q41" t="s">
        <v>187</v>
      </c>
      <c r="R41" s="123">
        <f>F41*(PATH_INVITE_BIRM(L41,M41,N41)*Pathways!M41 + PATH_SITE_BIRM(L41,M41,N41)*Pathways!N41) + E41*PATH_INFORM(G41)</f>
        <v>15385.094625359998</v>
      </c>
      <c r="S41" s="123">
        <f t="shared" si="2"/>
        <v>79.715516193575112</v>
      </c>
      <c r="T41" s="123">
        <f t="shared" si="3"/>
        <v>83.162673650594584</v>
      </c>
      <c r="U41" s="123">
        <f t="shared" si="4"/>
        <v>1923.1368281699997</v>
      </c>
    </row>
    <row r="42" spans="2:21" x14ac:dyDescent="0.25">
      <c r="B42">
        <v>2016</v>
      </c>
      <c r="D42">
        <f t="shared" si="1"/>
        <v>25</v>
      </c>
      <c r="E42">
        <f t="shared" si="5"/>
        <v>4</v>
      </c>
      <c r="F42">
        <v>21</v>
      </c>
      <c r="G42">
        <v>675</v>
      </c>
      <c r="H42">
        <v>566</v>
      </c>
      <c r="I42">
        <v>37</v>
      </c>
      <c r="J42">
        <v>7.0000000000000007E-2</v>
      </c>
      <c r="K42">
        <v>0.84</v>
      </c>
      <c r="L42">
        <v>32.14</v>
      </c>
      <c r="M42">
        <v>26.95</v>
      </c>
      <c r="N42">
        <v>1.76</v>
      </c>
      <c r="P42">
        <v>2016</v>
      </c>
      <c r="R42" s="123">
        <f>F42*(PATH_INVITE_BIRM(L42,M42,N42)*Pathways!M42 + PATH_SITE_BIRM(L42,M42,N42)*Pathways!N42) + E42*PATH_INFORM(G42)</f>
        <v>73953.815663999994</v>
      </c>
      <c r="S42" s="123">
        <f t="shared" si="2"/>
        <v>109.56120839111111</v>
      </c>
      <c r="T42" s="123">
        <f t="shared" si="3"/>
        <v>130.6604517031802</v>
      </c>
      <c r="U42" s="123">
        <f t="shared" si="4"/>
        <v>1998.7517747027025</v>
      </c>
    </row>
    <row r="43" spans="2:21" x14ac:dyDescent="0.25">
      <c r="B43">
        <v>2017</v>
      </c>
      <c r="C43" t="s">
        <v>343</v>
      </c>
      <c r="D43">
        <f t="shared" si="1"/>
        <v>5</v>
      </c>
      <c r="E43">
        <f t="shared" si="5"/>
        <v>1</v>
      </c>
      <c r="F43">
        <v>4</v>
      </c>
      <c r="G43">
        <v>16</v>
      </c>
      <c r="H43">
        <v>12</v>
      </c>
      <c r="I43">
        <v>1</v>
      </c>
      <c r="J43">
        <v>0.08</v>
      </c>
      <c r="K43">
        <v>0.75</v>
      </c>
      <c r="L43">
        <v>4</v>
      </c>
      <c r="M43">
        <v>3</v>
      </c>
      <c r="N43">
        <v>0.25</v>
      </c>
      <c r="P43">
        <v>2017</v>
      </c>
      <c r="Q43" t="s">
        <v>343</v>
      </c>
      <c r="R43" s="123">
        <f>F43*(PATH_INVITE_BIRM(L43,M43,N43)*Pathways!M43 + PATH_SITE_BIRM(L43,M43,N43)*Pathways!N43) + E43*PATH_INFORM(G43)</f>
        <v>6329.7023683200005</v>
      </c>
      <c r="S43" s="123">
        <f t="shared" si="2"/>
        <v>395.60639802000003</v>
      </c>
      <c r="T43" s="123">
        <f t="shared" si="3"/>
        <v>527.47519736000004</v>
      </c>
      <c r="U43" s="123">
        <f t="shared" si="4"/>
        <v>6329.7023683200005</v>
      </c>
    </row>
    <row r="44" spans="2:21" x14ac:dyDescent="0.25">
      <c r="B44">
        <v>2017</v>
      </c>
      <c r="C44" t="s">
        <v>214</v>
      </c>
      <c r="D44">
        <f t="shared" si="1"/>
        <v>13</v>
      </c>
      <c r="E44">
        <f t="shared" si="5"/>
        <v>2</v>
      </c>
      <c r="F44">
        <v>11</v>
      </c>
      <c r="G44">
        <v>782</v>
      </c>
      <c r="H44">
        <v>577</v>
      </c>
      <c r="I44">
        <v>7</v>
      </c>
      <c r="J44">
        <v>0.01</v>
      </c>
      <c r="K44">
        <v>0.74</v>
      </c>
      <c r="L44">
        <v>71.09</v>
      </c>
      <c r="M44">
        <v>52.45</v>
      </c>
      <c r="N44">
        <v>0.64</v>
      </c>
      <c r="P44">
        <v>2017</v>
      </c>
      <c r="Q44" t="s">
        <v>214</v>
      </c>
      <c r="R44" s="123">
        <f>F44*(PATH_INVITE_BIRM(L44,M44,N44)*Pathways!M44 + PATH_SITE_BIRM(L44,M44,N44)*Pathways!N44) + E44*PATH_INFORM(G44)</f>
        <v>53835.075563279992</v>
      </c>
      <c r="S44" s="123">
        <f t="shared" si="2"/>
        <v>68.842807625677736</v>
      </c>
      <c r="T44" s="123">
        <f t="shared" si="3"/>
        <v>93.301690750918524</v>
      </c>
      <c r="U44" s="123">
        <f t="shared" si="4"/>
        <v>7690.72508046857</v>
      </c>
    </row>
    <row r="45" spans="2:21" x14ac:dyDescent="0.25">
      <c r="B45">
        <v>2017</v>
      </c>
      <c r="C45" t="s">
        <v>320</v>
      </c>
      <c r="D45">
        <f t="shared" si="1"/>
        <v>7</v>
      </c>
      <c r="E45">
        <f t="shared" si="5"/>
        <v>1</v>
      </c>
      <c r="F45">
        <v>6</v>
      </c>
      <c r="G45">
        <v>459</v>
      </c>
      <c r="H45">
        <v>292</v>
      </c>
      <c r="I45">
        <v>23</v>
      </c>
      <c r="J45">
        <v>0.08</v>
      </c>
      <c r="K45">
        <v>0.64</v>
      </c>
      <c r="L45">
        <v>76.5</v>
      </c>
      <c r="M45">
        <v>48.67</v>
      </c>
      <c r="N45">
        <v>3.83</v>
      </c>
      <c r="P45">
        <v>2017</v>
      </c>
      <c r="Q45" t="s">
        <v>320</v>
      </c>
      <c r="R45" s="123">
        <f>F45*(PATH_INVITE_BIRM(L45,M45,N45)*Pathways!M45 + PATH_SITE_BIRM(L45,M45,N45)*Pathways!N45) + E45*PATH_INFORM(G45)</f>
        <v>27874.703563679999</v>
      </c>
      <c r="S45" s="123">
        <f t="shared" si="2"/>
        <v>60.729201663790846</v>
      </c>
      <c r="T45" s="123">
        <f t="shared" si="3"/>
        <v>95.461313574246574</v>
      </c>
      <c r="U45" s="123">
        <f t="shared" si="4"/>
        <v>1211.9436332034782</v>
      </c>
    </row>
    <row r="46" spans="2:21" x14ac:dyDescent="0.25">
      <c r="B46">
        <v>2017</v>
      </c>
      <c r="C46" t="s">
        <v>319</v>
      </c>
      <c r="D46">
        <f t="shared" si="1"/>
        <v>4</v>
      </c>
      <c r="E46">
        <f t="shared" si="5"/>
        <v>1</v>
      </c>
      <c r="F46">
        <v>3</v>
      </c>
      <c r="G46">
        <v>80</v>
      </c>
      <c r="H46">
        <v>67</v>
      </c>
      <c r="I46">
        <v>1</v>
      </c>
      <c r="J46">
        <v>0.01</v>
      </c>
      <c r="K46">
        <v>0.84</v>
      </c>
      <c r="L46">
        <v>26.67</v>
      </c>
      <c r="M46">
        <v>22.33</v>
      </c>
      <c r="N46">
        <v>0.33</v>
      </c>
      <c r="P46">
        <v>2017</v>
      </c>
      <c r="Q46" t="s">
        <v>319</v>
      </c>
      <c r="R46" s="123">
        <f>F46*(PATH_INVITE_BIRM(L46,M46,N46)*Pathways!M46 + PATH_SITE_BIRM(L46,M46,N46)*Pathways!N46) + E46*PATH_INFORM(G46)</f>
        <v>8121.9401315999994</v>
      </c>
      <c r="S46" s="123">
        <f t="shared" si="2"/>
        <v>101.52425164499999</v>
      </c>
      <c r="T46" s="123">
        <f t="shared" si="3"/>
        <v>121.22298703880597</v>
      </c>
      <c r="U46" s="123">
        <f t="shared" si="4"/>
        <v>8121.9401315999994</v>
      </c>
    </row>
    <row r="47" spans="2:21" x14ac:dyDescent="0.25">
      <c r="B47">
        <v>2017</v>
      </c>
      <c r="C47" t="s">
        <v>187</v>
      </c>
      <c r="D47">
        <f t="shared" si="1"/>
        <v>2</v>
      </c>
      <c r="E47">
        <f t="shared" si="5"/>
        <v>0</v>
      </c>
      <c r="F47">
        <v>2</v>
      </c>
      <c r="G47">
        <v>141</v>
      </c>
      <c r="H47">
        <v>106</v>
      </c>
      <c r="I47">
        <v>12</v>
      </c>
      <c r="J47">
        <v>0.11</v>
      </c>
      <c r="K47">
        <v>0.75</v>
      </c>
      <c r="L47">
        <v>70.5</v>
      </c>
      <c r="M47">
        <v>53</v>
      </c>
      <c r="N47">
        <v>6</v>
      </c>
      <c r="P47">
        <v>2017</v>
      </c>
      <c r="Q47" t="s">
        <v>187</v>
      </c>
      <c r="R47" s="123">
        <f>F47*(PATH_INVITE_BIRM(L47,M47,N47)*Pathways!M47 + PATH_SITE_BIRM(L47,M47,N47)*Pathways!N47) + E47*PATH_INFORM(G47)</f>
        <v>9310.3426999999992</v>
      </c>
      <c r="S47" s="123">
        <f t="shared" si="2"/>
        <v>66.030799290780138</v>
      </c>
      <c r="T47" s="123">
        <f t="shared" si="3"/>
        <v>87.833421698113199</v>
      </c>
      <c r="U47" s="123">
        <f t="shared" si="4"/>
        <v>775.86189166666657</v>
      </c>
    </row>
    <row r="48" spans="2:21" x14ac:dyDescent="0.25">
      <c r="B48">
        <v>2017</v>
      </c>
      <c r="D48">
        <f t="shared" si="1"/>
        <v>31</v>
      </c>
      <c r="E48">
        <f t="shared" si="5"/>
        <v>5</v>
      </c>
      <c r="F48">
        <v>26</v>
      </c>
      <c r="G48">
        <v>1478</v>
      </c>
      <c r="H48">
        <v>1054</v>
      </c>
      <c r="I48">
        <v>44</v>
      </c>
      <c r="J48">
        <v>0.04</v>
      </c>
      <c r="K48">
        <v>0.71</v>
      </c>
      <c r="L48">
        <v>56.85</v>
      </c>
      <c r="M48">
        <v>40.54</v>
      </c>
      <c r="N48">
        <v>1.69</v>
      </c>
      <c r="P48">
        <v>2017</v>
      </c>
      <c r="R48" s="123">
        <f>F48*(PATH_INVITE_BIRM(L48,M48,N48)*Pathways!M48 + PATH_SITE_BIRM(L48,M48,N48)*Pathways!N48) + E48*PATH_INFORM(G48)</f>
        <v>127622.66837279999</v>
      </c>
      <c r="S48" s="123">
        <f t="shared" si="2"/>
        <v>86.348219467388361</v>
      </c>
      <c r="T48" s="123">
        <f t="shared" si="3"/>
        <v>121.08412559089183</v>
      </c>
      <c r="U48" s="123">
        <f t="shared" si="4"/>
        <v>2900.5151902909088</v>
      </c>
    </row>
    <row r="49" spans="2:21" x14ac:dyDescent="0.25">
      <c r="B49">
        <v>2018</v>
      </c>
      <c r="C49" t="s">
        <v>343</v>
      </c>
      <c r="D49">
        <f t="shared" si="1"/>
        <v>1</v>
      </c>
      <c r="E49">
        <f t="shared" si="5"/>
        <v>0</v>
      </c>
      <c r="F49">
        <v>1</v>
      </c>
      <c r="G49">
        <v>13</v>
      </c>
      <c r="H49">
        <v>11</v>
      </c>
      <c r="I49">
        <v>0</v>
      </c>
      <c r="J49">
        <v>0</v>
      </c>
      <c r="K49">
        <v>0.85</v>
      </c>
      <c r="L49">
        <v>13</v>
      </c>
      <c r="M49">
        <v>11</v>
      </c>
      <c r="N49">
        <v>0</v>
      </c>
      <c r="P49">
        <v>2018</v>
      </c>
      <c r="Q49" t="s">
        <v>343</v>
      </c>
      <c r="R49" s="123">
        <f>F49*(PATH_INVITE_BIRM(L49,M49,N49)*Pathways!M49 + PATH_SITE_BIRM(L49,M49,N49)*Pathways!N49) + E49*PATH_INFORM(G49)</f>
        <v>1974.6636100000001</v>
      </c>
      <c r="S49" s="123">
        <f t="shared" si="2"/>
        <v>151.89720076923078</v>
      </c>
      <c r="T49" s="123">
        <f t="shared" si="3"/>
        <v>179.51487363636363</v>
      </c>
      <c r="U49" s="123"/>
    </row>
    <row r="50" spans="2:21" x14ac:dyDescent="0.25">
      <c r="B50">
        <v>2018</v>
      </c>
      <c r="C50" t="s">
        <v>214</v>
      </c>
      <c r="D50">
        <f t="shared" si="1"/>
        <v>7</v>
      </c>
      <c r="E50">
        <f t="shared" si="5"/>
        <v>1</v>
      </c>
      <c r="F50">
        <v>6</v>
      </c>
      <c r="G50">
        <v>209</v>
      </c>
      <c r="H50">
        <v>169</v>
      </c>
      <c r="I50">
        <v>3</v>
      </c>
      <c r="J50">
        <v>0.02</v>
      </c>
      <c r="K50">
        <v>0.81</v>
      </c>
      <c r="L50">
        <v>34.83</v>
      </c>
      <c r="M50">
        <v>28.17</v>
      </c>
      <c r="N50">
        <v>0.5</v>
      </c>
      <c r="P50">
        <v>2018</v>
      </c>
      <c r="Q50" t="s">
        <v>214</v>
      </c>
      <c r="R50" s="123">
        <f>F50*(PATH_INVITE_BIRM(L50,M50,N50)*Pathways!M50 + PATH_SITE_BIRM(L50,M50,N50)*Pathways!N50) + E50*PATH_INFORM(G50)</f>
        <v>18773.244403679997</v>
      </c>
      <c r="S50" s="123">
        <f t="shared" si="2"/>
        <v>89.824135902775112</v>
      </c>
      <c r="T50" s="123">
        <f t="shared" si="3"/>
        <v>111.08428641230768</v>
      </c>
      <c r="U50" s="123">
        <f t="shared" si="4"/>
        <v>6257.748134559999</v>
      </c>
    </row>
    <row r="51" spans="2:21" x14ac:dyDescent="0.25">
      <c r="B51">
        <v>2018</v>
      </c>
      <c r="C51" t="s">
        <v>320</v>
      </c>
      <c r="D51">
        <f t="shared" si="1"/>
        <v>5</v>
      </c>
      <c r="E51">
        <f t="shared" si="5"/>
        <v>1</v>
      </c>
      <c r="F51">
        <v>4</v>
      </c>
      <c r="G51">
        <v>62</v>
      </c>
      <c r="H51">
        <v>53</v>
      </c>
      <c r="I51">
        <v>14</v>
      </c>
      <c r="J51">
        <v>0.26</v>
      </c>
      <c r="K51">
        <v>0.85</v>
      </c>
      <c r="L51">
        <v>15.5</v>
      </c>
      <c r="M51">
        <v>13.25</v>
      </c>
      <c r="N51">
        <v>3.5</v>
      </c>
      <c r="P51">
        <v>2018</v>
      </c>
      <c r="Q51" t="s">
        <v>320</v>
      </c>
      <c r="R51" s="123">
        <f>F51*(PATH_INVITE_BIRM(L51,M51,N51)*Pathways!M51 + PATH_SITE_BIRM(L51,M51,N51)*Pathways!N51) + E51*PATH_INFORM(G51)</f>
        <v>9469.6914822399995</v>
      </c>
      <c r="S51" s="123">
        <f t="shared" si="2"/>
        <v>152.73695939096774</v>
      </c>
      <c r="T51" s="123">
        <f t="shared" si="3"/>
        <v>178.67342419320752</v>
      </c>
      <c r="U51" s="123">
        <f t="shared" si="4"/>
        <v>676.40653444571421</v>
      </c>
    </row>
    <row r="52" spans="2:21" x14ac:dyDescent="0.25">
      <c r="B52">
        <v>2018</v>
      </c>
      <c r="C52" t="s">
        <v>319</v>
      </c>
      <c r="D52">
        <f t="shared" si="1"/>
        <v>4</v>
      </c>
      <c r="E52">
        <f t="shared" si="5"/>
        <v>1</v>
      </c>
      <c r="F52">
        <v>3</v>
      </c>
      <c r="G52">
        <v>56</v>
      </c>
      <c r="H52">
        <v>24</v>
      </c>
      <c r="I52">
        <v>0</v>
      </c>
      <c r="J52">
        <v>0</v>
      </c>
      <c r="K52">
        <v>0.43</v>
      </c>
      <c r="L52">
        <v>18.670000000000002</v>
      </c>
      <c r="M52">
        <v>8</v>
      </c>
      <c r="N52">
        <v>0</v>
      </c>
      <c r="P52">
        <v>2018</v>
      </c>
      <c r="Q52" t="s">
        <v>319</v>
      </c>
      <c r="R52" s="123">
        <f>F52*(PATH_INVITE_BIRM(L52,M52,N52)*Pathways!M52 + PATH_SITE_BIRM(L52,M52,N52)*Pathways!N52) + E52*PATH_INFORM(G52)</f>
        <v>5765.3210191199996</v>
      </c>
      <c r="S52" s="123">
        <f t="shared" si="2"/>
        <v>102.95216105571428</v>
      </c>
      <c r="T52" s="123">
        <f t="shared" si="3"/>
        <v>240.22170912999999</v>
      </c>
      <c r="U52" s="123"/>
    </row>
    <row r="53" spans="2:21" x14ac:dyDescent="0.25">
      <c r="B53">
        <v>2018</v>
      </c>
      <c r="C53" t="s">
        <v>187</v>
      </c>
      <c r="D53">
        <f t="shared" si="1"/>
        <v>4</v>
      </c>
      <c r="E53">
        <f t="shared" si="5"/>
        <v>1</v>
      </c>
      <c r="F53">
        <v>3</v>
      </c>
      <c r="G53">
        <v>72</v>
      </c>
      <c r="H53">
        <v>15</v>
      </c>
      <c r="I53">
        <v>1</v>
      </c>
      <c r="J53">
        <v>7.0000000000000007E-2</v>
      </c>
      <c r="K53">
        <v>0.21</v>
      </c>
      <c r="L53">
        <v>24</v>
      </c>
      <c r="M53">
        <v>5</v>
      </c>
      <c r="N53">
        <v>0.33</v>
      </c>
      <c r="P53">
        <v>2018</v>
      </c>
      <c r="Q53" t="s">
        <v>187</v>
      </c>
      <c r="R53" s="123">
        <f>F53*(PATH_INVITE_BIRM(L53,M53,N53)*Pathways!M53 + PATH_SITE_BIRM(L53,M53,N53)*Pathways!N53) + E53*PATH_INFORM(G53)</f>
        <v>5497.9950674399997</v>
      </c>
      <c r="S53" s="123">
        <f t="shared" si="2"/>
        <v>76.361042603333331</v>
      </c>
      <c r="T53" s="123">
        <f t="shared" si="3"/>
        <v>366.53300449599999</v>
      </c>
      <c r="U53" s="123">
        <f t="shared" si="4"/>
        <v>5497.9950674399997</v>
      </c>
    </row>
    <row r="54" spans="2:21" x14ac:dyDescent="0.25">
      <c r="B54">
        <v>2018</v>
      </c>
      <c r="D54">
        <f t="shared" si="1"/>
        <v>20</v>
      </c>
      <c r="E54">
        <f t="shared" si="5"/>
        <v>3</v>
      </c>
      <c r="F54">
        <v>17</v>
      </c>
      <c r="G54">
        <v>412</v>
      </c>
      <c r="H54">
        <v>272</v>
      </c>
      <c r="I54">
        <v>18</v>
      </c>
      <c r="J54">
        <v>7.0000000000000007E-2</v>
      </c>
      <c r="K54">
        <v>0.66</v>
      </c>
      <c r="L54">
        <v>24.24</v>
      </c>
      <c r="M54">
        <v>16</v>
      </c>
      <c r="N54">
        <v>1.06</v>
      </c>
      <c r="P54">
        <v>2018</v>
      </c>
      <c r="R54" s="123">
        <f>F54*(PATH_INVITE_BIRM(L54,M54,N54)*Pathways!M54 + PATH_SITE_BIRM(L54,M54,N54)*Pathways!N54) + E54*PATH_INFORM(G54)</f>
        <v>44549.168842719992</v>
      </c>
      <c r="S54" s="123">
        <f t="shared" si="2"/>
        <v>108.12905058912619</v>
      </c>
      <c r="T54" s="123">
        <f t="shared" si="3"/>
        <v>163.78370898058822</v>
      </c>
      <c r="U54" s="123">
        <f t="shared" si="4"/>
        <v>2474.953824595555</v>
      </c>
    </row>
  </sheetData>
  <mergeCells count="1">
    <mergeCell ref="R2:U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5A731-1A6A-4004-9066-2276B867E3D4}">
  <sheetPr codeName="Sheet20">
    <tabColor rgb="FFC00000"/>
  </sheetPr>
  <dimension ref="A1:N54"/>
  <sheetViews>
    <sheetView zoomScale="85" zoomScaleNormal="85" workbookViewId="0">
      <selection activeCell="S10" sqref="S10"/>
    </sheetView>
  </sheetViews>
  <sheetFormatPr defaultRowHeight="15" x14ac:dyDescent="0.25"/>
  <cols>
    <col min="1" max="1" width="11.140625" customWidth="1"/>
    <col min="2" max="2" width="5" bestFit="1" customWidth="1"/>
    <col min="3" max="3" width="27" customWidth="1"/>
    <col min="4" max="4" width="17.7109375" bestFit="1" customWidth="1"/>
    <col min="5" max="5" width="15.7109375" bestFit="1" customWidth="1"/>
    <col min="6" max="6" width="14.5703125" customWidth="1"/>
    <col min="7" max="7" width="9.5703125" bestFit="1" customWidth="1"/>
    <col min="8" max="8" width="7.140625" bestFit="1" customWidth="1"/>
    <col min="9" max="9" width="12.42578125" bestFit="1" customWidth="1"/>
    <col min="10" max="10" width="10.5703125" bestFit="1" customWidth="1"/>
    <col min="11" max="12" width="10.5703125" customWidth="1"/>
    <col min="13" max="13" width="13.7109375" bestFit="1" customWidth="1"/>
    <col min="14" max="14" width="11.7109375" bestFit="1" customWidth="1"/>
    <col min="16" max="16" width="5.7109375" customWidth="1"/>
  </cols>
  <sheetData>
    <row r="1" spans="1:14" ht="15.75" x14ac:dyDescent="0.25">
      <c r="A1" s="39" t="s">
        <v>325</v>
      </c>
      <c r="J1" s="39"/>
      <c r="K1" s="39"/>
      <c r="L1" s="39"/>
      <c r="M1" s="39"/>
      <c r="N1" s="39"/>
    </row>
    <row r="3" spans="1:14" x14ac:dyDescent="0.25">
      <c r="B3" s="1" t="s">
        <v>315</v>
      </c>
      <c r="C3" s="1" t="s">
        <v>216</v>
      </c>
      <c r="D3" s="1" t="s">
        <v>422</v>
      </c>
      <c r="E3" s="1" t="s">
        <v>423</v>
      </c>
      <c r="F3" s="1" t="s">
        <v>421</v>
      </c>
      <c r="G3" s="45" t="s">
        <v>212</v>
      </c>
      <c r="H3" s="45" t="s">
        <v>213</v>
      </c>
      <c r="I3" s="45" t="s">
        <v>323</v>
      </c>
      <c r="J3" s="45" t="s">
        <v>324</v>
      </c>
      <c r="K3" s="45" t="s">
        <v>326</v>
      </c>
      <c r="L3" s="45" t="s">
        <v>327</v>
      </c>
      <c r="M3" s="45" t="s">
        <v>328</v>
      </c>
      <c r="N3" s="45" t="s">
        <v>329</v>
      </c>
    </row>
    <row r="4" spans="1:14" x14ac:dyDescent="0.25">
      <c r="B4">
        <v>2010</v>
      </c>
      <c r="C4" t="s">
        <v>214</v>
      </c>
      <c r="D4" s="104">
        <f>ROUND(E4+F4,0)</f>
        <v>6</v>
      </c>
      <c r="E4" s="104">
        <f t="shared" ref="E4:E35" si="0">ROUND(F4*(1-p_screen_incid)/p_screen_incid,0)</f>
        <v>1</v>
      </c>
      <c r="F4">
        <v>5</v>
      </c>
      <c r="G4" s="104">
        <f>D4-H4</f>
        <v>0</v>
      </c>
      <c r="H4" s="104">
        <f>D4*L4</f>
        <v>6</v>
      </c>
      <c r="I4" s="104">
        <f>F4-J4</f>
        <v>0</v>
      </c>
      <c r="J4" s="104">
        <f>ROUND(F4*N4,0)</f>
        <v>5</v>
      </c>
      <c r="K4">
        <v>0</v>
      </c>
      <c r="L4">
        <v>1</v>
      </c>
      <c r="M4" s="104">
        <f>1-N4</f>
        <v>9.9999999999999978E-2</v>
      </c>
      <c r="N4" s="104">
        <f t="shared" ref="N4:N35" si="1">p_site_screen</f>
        <v>0.9</v>
      </c>
    </row>
    <row r="5" spans="1:14" ht="18.75" x14ac:dyDescent="0.3">
      <c r="A5" s="26"/>
      <c r="B5">
        <v>2010</v>
      </c>
      <c r="C5" t="s">
        <v>319</v>
      </c>
      <c r="D5" s="104">
        <f t="shared" ref="D5:D54" si="2">ROUND(E5+F5,0)</f>
        <v>2</v>
      </c>
      <c r="E5" s="104">
        <f t="shared" si="0"/>
        <v>0</v>
      </c>
      <c r="F5">
        <v>2</v>
      </c>
      <c r="G5" s="104">
        <f t="shared" ref="G5:G54" si="3">D5-H5</f>
        <v>0</v>
      </c>
      <c r="H5" s="104">
        <f t="shared" ref="H5:H54" si="4">D5*L5</f>
        <v>2</v>
      </c>
      <c r="I5" s="104">
        <f t="shared" ref="I5:I54" si="5">F5-J5</f>
        <v>0</v>
      </c>
      <c r="J5" s="104">
        <f t="shared" ref="J5:J54" si="6">ROUND(F5*N5,0)</f>
        <v>2</v>
      </c>
      <c r="K5">
        <v>0</v>
      </c>
      <c r="L5">
        <v>1</v>
      </c>
      <c r="M5" s="104">
        <f t="shared" ref="M5:M54" si="7">1-N5</f>
        <v>9.9999999999999978E-2</v>
      </c>
      <c r="N5" s="104">
        <f t="shared" si="1"/>
        <v>0.9</v>
      </c>
    </row>
    <row r="6" spans="1:14" x14ac:dyDescent="0.25">
      <c r="B6">
        <v>2010</v>
      </c>
      <c r="C6" t="s">
        <v>187</v>
      </c>
      <c r="D6" s="104">
        <f t="shared" si="2"/>
        <v>1</v>
      </c>
      <c r="E6" s="104">
        <f t="shared" si="0"/>
        <v>0</v>
      </c>
      <c r="F6">
        <v>1</v>
      </c>
      <c r="G6" s="104">
        <f t="shared" si="3"/>
        <v>0</v>
      </c>
      <c r="H6" s="104">
        <f t="shared" si="4"/>
        <v>1</v>
      </c>
      <c r="I6" s="104">
        <f t="shared" si="5"/>
        <v>0</v>
      </c>
      <c r="J6" s="104">
        <f t="shared" si="6"/>
        <v>1</v>
      </c>
      <c r="K6">
        <v>0</v>
      </c>
      <c r="L6">
        <v>1</v>
      </c>
      <c r="M6" s="104">
        <f t="shared" si="7"/>
        <v>9.9999999999999978E-2</v>
      </c>
      <c r="N6" s="104">
        <f t="shared" si="1"/>
        <v>0.9</v>
      </c>
    </row>
    <row r="7" spans="1:14" x14ac:dyDescent="0.25">
      <c r="B7">
        <v>2010</v>
      </c>
      <c r="D7" s="104">
        <f t="shared" si="2"/>
        <v>9</v>
      </c>
      <c r="E7" s="104">
        <f t="shared" si="0"/>
        <v>1</v>
      </c>
      <c r="F7">
        <v>8</v>
      </c>
      <c r="G7" s="104">
        <f t="shared" si="3"/>
        <v>0</v>
      </c>
      <c r="H7" s="104">
        <f t="shared" si="4"/>
        <v>9</v>
      </c>
      <c r="I7" s="104">
        <f t="shared" si="5"/>
        <v>1</v>
      </c>
      <c r="J7" s="104">
        <f t="shared" si="6"/>
        <v>7</v>
      </c>
      <c r="K7">
        <v>0</v>
      </c>
      <c r="L7">
        <v>1</v>
      </c>
      <c r="M7" s="104">
        <f t="shared" si="7"/>
        <v>9.9999999999999978E-2</v>
      </c>
      <c r="N7" s="104">
        <f t="shared" si="1"/>
        <v>0.9</v>
      </c>
    </row>
    <row r="8" spans="1:14" x14ac:dyDescent="0.25">
      <c r="B8">
        <v>2011</v>
      </c>
      <c r="C8" t="s">
        <v>343</v>
      </c>
      <c r="D8" s="104">
        <f t="shared" si="2"/>
        <v>1</v>
      </c>
      <c r="E8" s="104">
        <f t="shared" si="0"/>
        <v>0</v>
      </c>
      <c r="F8">
        <v>1</v>
      </c>
      <c r="G8" s="104">
        <f t="shared" si="3"/>
        <v>0</v>
      </c>
      <c r="H8" s="104">
        <f t="shared" si="4"/>
        <v>1</v>
      </c>
      <c r="I8" s="104">
        <f t="shared" si="5"/>
        <v>0</v>
      </c>
      <c r="J8" s="104">
        <f t="shared" si="6"/>
        <v>1</v>
      </c>
      <c r="K8">
        <v>0</v>
      </c>
      <c r="L8">
        <v>1</v>
      </c>
      <c r="M8" s="104">
        <f t="shared" si="7"/>
        <v>9.9999999999999978E-2</v>
      </c>
      <c r="N8" s="104">
        <f t="shared" si="1"/>
        <v>0.9</v>
      </c>
    </row>
    <row r="9" spans="1:14" x14ac:dyDescent="0.25">
      <c r="B9">
        <v>2011</v>
      </c>
      <c r="C9" t="s">
        <v>214</v>
      </c>
      <c r="D9" s="104">
        <f t="shared" si="2"/>
        <v>14</v>
      </c>
      <c r="E9" s="104">
        <f t="shared" si="0"/>
        <v>2</v>
      </c>
      <c r="F9">
        <v>12</v>
      </c>
      <c r="G9" s="104">
        <f t="shared" si="3"/>
        <v>0</v>
      </c>
      <c r="H9" s="104">
        <f t="shared" si="4"/>
        <v>14</v>
      </c>
      <c r="I9" s="104">
        <f t="shared" si="5"/>
        <v>1</v>
      </c>
      <c r="J9" s="104">
        <f t="shared" si="6"/>
        <v>11</v>
      </c>
      <c r="K9">
        <v>0</v>
      </c>
      <c r="L9">
        <v>1</v>
      </c>
      <c r="M9" s="104">
        <f t="shared" si="7"/>
        <v>9.9999999999999978E-2</v>
      </c>
      <c r="N9" s="104">
        <f t="shared" si="1"/>
        <v>0.9</v>
      </c>
    </row>
    <row r="10" spans="1:14" x14ac:dyDescent="0.25">
      <c r="B10">
        <v>2011</v>
      </c>
      <c r="C10" t="s">
        <v>320</v>
      </c>
      <c r="D10" s="104">
        <f t="shared" si="2"/>
        <v>1</v>
      </c>
      <c r="E10" s="104">
        <f t="shared" si="0"/>
        <v>0</v>
      </c>
      <c r="F10">
        <v>1</v>
      </c>
      <c r="G10" s="104">
        <f t="shared" si="3"/>
        <v>0</v>
      </c>
      <c r="H10" s="104">
        <f t="shared" si="4"/>
        <v>1</v>
      </c>
      <c r="I10" s="104">
        <f t="shared" si="5"/>
        <v>0</v>
      </c>
      <c r="J10" s="104">
        <f t="shared" si="6"/>
        <v>1</v>
      </c>
      <c r="K10">
        <v>0</v>
      </c>
      <c r="L10">
        <v>1</v>
      </c>
      <c r="M10" s="104">
        <f t="shared" si="7"/>
        <v>9.9999999999999978E-2</v>
      </c>
      <c r="N10" s="104">
        <f t="shared" si="1"/>
        <v>0.9</v>
      </c>
    </row>
    <row r="11" spans="1:14" x14ac:dyDescent="0.25">
      <c r="B11">
        <v>2011</v>
      </c>
      <c r="C11" t="s">
        <v>319</v>
      </c>
      <c r="D11" s="104">
        <f t="shared" si="2"/>
        <v>8</v>
      </c>
      <c r="E11" s="104">
        <f t="shared" si="0"/>
        <v>1</v>
      </c>
      <c r="F11">
        <v>7</v>
      </c>
      <c r="G11" s="104">
        <f t="shared" si="3"/>
        <v>0</v>
      </c>
      <c r="H11" s="104">
        <f t="shared" si="4"/>
        <v>8</v>
      </c>
      <c r="I11" s="104">
        <f t="shared" si="5"/>
        <v>1</v>
      </c>
      <c r="J11" s="104">
        <f t="shared" si="6"/>
        <v>6</v>
      </c>
      <c r="K11">
        <v>0</v>
      </c>
      <c r="L11">
        <v>1</v>
      </c>
      <c r="M11" s="104">
        <f t="shared" si="7"/>
        <v>9.9999999999999978E-2</v>
      </c>
      <c r="N11" s="104">
        <f t="shared" si="1"/>
        <v>0.9</v>
      </c>
    </row>
    <row r="12" spans="1:14" x14ac:dyDescent="0.25">
      <c r="B12">
        <v>2011</v>
      </c>
      <c r="D12" s="104">
        <f t="shared" si="2"/>
        <v>25</v>
      </c>
      <c r="E12" s="104">
        <f t="shared" si="0"/>
        <v>4</v>
      </c>
      <c r="F12">
        <v>21</v>
      </c>
      <c r="G12" s="104">
        <f t="shared" si="3"/>
        <v>0</v>
      </c>
      <c r="H12" s="104">
        <f t="shared" si="4"/>
        <v>25</v>
      </c>
      <c r="I12" s="104">
        <f t="shared" si="5"/>
        <v>2</v>
      </c>
      <c r="J12" s="104">
        <f t="shared" si="6"/>
        <v>19</v>
      </c>
      <c r="K12">
        <v>0</v>
      </c>
      <c r="L12">
        <v>1</v>
      </c>
      <c r="M12" s="104">
        <f t="shared" si="7"/>
        <v>9.9999999999999978E-2</v>
      </c>
      <c r="N12" s="104">
        <f t="shared" si="1"/>
        <v>0.9</v>
      </c>
    </row>
    <row r="13" spans="1:14" x14ac:dyDescent="0.25">
      <c r="B13">
        <v>2012</v>
      </c>
      <c r="C13" t="s">
        <v>343</v>
      </c>
      <c r="D13" s="104">
        <f t="shared" si="2"/>
        <v>2</v>
      </c>
      <c r="E13" s="104">
        <f t="shared" si="0"/>
        <v>0</v>
      </c>
      <c r="F13">
        <v>2</v>
      </c>
      <c r="G13" s="104">
        <f t="shared" si="3"/>
        <v>0</v>
      </c>
      <c r="H13" s="104">
        <f t="shared" si="4"/>
        <v>2</v>
      </c>
      <c r="I13" s="104">
        <f t="shared" si="5"/>
        <v>0</v>
      </c>
      <c r="J13" s="104">
        <f t="shared" si="6"/>
        <v>2</v>
      </c>
      <c r="K13">
        <v>0</v>
      </c>
      <c r="L13">
        <v>1</v>
      </c>
      <c r="M13" s="104">
        <f t="shared" si="7"/>
        <v>9.9999999999999978E-2</v>
      </c>
      <c r="N13" s="104">
        <f t="shared" si="1"/>
        <v>0.9</v>
      </c>
    </row>
    <row r="14" spans="1:14" x14ac:dyDescent="0.25">
      <c r="B14">
        <v>2012</v>
      </c>
      <c r="C14" t="s">
        <v>214</v>
      </c>
      <c r="D14" s="104">
        <f t="shared" si="2"/>
        <v>18</v>
      </c>
      <c r="E14" s="104">
        <f t="shared" si="0"/>
        <v>3</v>
      </c>
      <c r="F14">
        <v>15</v>
      </c>
      <c r="G14" s="104">
        <f t="shared" si="3"/>
        <v>0</v>
      </c>
      <c r="H14" s="104">
        <f t="shared" si="4"/>
        <v>18</v>
      </c>
      <c r="I14" s="104">
        <f t="shared" si="5"/>
        <v>1</v>
      </c>
      <c r="J14" s="104">
        <f t="shared" si="6"/>
        <v>14</v>
      </c>
      <c r="K14">
        <v>0</v>
      </c>
      <c r="L14">
        <v>1</v>
      </c>
      <c r="M14" s="104">
        <f t="shared" si="7"/>
        <v>9.9999999999999978E-2</v>
      </c>
      <c r="N14" s="104">
        <f t="shared" si="1"/>
        <v>0.9</v>
      </c>
    </row>
    <row r="15" spans="1:14" x14ac:dyDescent="0.25">
      <c r="B15">
        <v>2012</v>
      </c>
      <c r="C15" t="s">
        <v>320</v>
      </c>
      <c r="D15" s="104">
        <f t="shared" si="2"/>
        <v>2</v>
      </c>
      <c r="E15" s="104">
        <f t="shared" si="0"/>
        <v>0</v>
      </c>
      <c r="F15">
        <v>2</v>
      </c>
      <c r="G15" s="104">
        <f t="shared" si="3"/>
        <v>0</v>
      </c>
      <c r="H15" s="104">
        <f t="shared" si="4"/>
        <v>2</v>
      </c>
      <c r="I15" s="104">
        <f t="shared" si="5"/>
        <v>0</v>
      </c>
      <c r="J15" s="104">
        <f t="shared" si="6"/>
        <v>2</v>
      </c>
      <c r="K15">
        <v>0</v>
      </c>
      <c r="L15">
        <v>1</v>
      </c>
      <c r="M15" s="104">
        <f t="shared" si="7"/>
        <v>9.9999999999999978E-2</v>
      </c>
      <c r="N15" s="104">
        <f t="shared" si="1"/>
        <v>0.9</v>
      </c>
    </row>
    <row r="16" spans="1:14" x14ac:dyDescent="0.25">
      <c r="B16">
        <v>2012</v>
      </c>
      <c r="C16" t="s">
        <v>319</v>
      </c>
      <c r="D16" s="104">
        <f t="shared" si="2"/>
        <v>4</v>
      </c>
      <c r="E16" s="104">
        <f t="shared" si="0"/>
        <v>1</v>
      </c>
      <c r="F16">
        <v>3</v>
      </c>
      <c r="G16" s="104">
        <f t="shared" si="3"/>
        <v>0</v>
      </c>
      <c r="H16" s="104">
        <f t="shared" si="4"/>
        <v>4</v>
      </c>
      <c r="I16" s="104">
        <f t="shared" si="5"/>
        <v>0</v>
      </c>
      <c r="J16" s="104">
        <f t="shared" si="6"/>
        <v>3</v>
      </c>
      <c r="K16">
        <v>0</v>
      </c>
      <c r="L16">
        <v>1</v>
      </c>
      <c r="M16" s="104">
        <f t="shared" si="7"/>
        <v>9.9999999999999978E-2</v>
      </c>
      <c r="N16" s="104">
        <f t="shared" si="1"/>
        <v>0.9</v>
      </c>
    </row>
    <row r="17" spans="2:14" x14ac:dyDescent="0.25">
      <c r="B17">
        <v>2012</v>
      </c>
      <c r="C17" t="s">
        <v>187</v>
      </c>
      <c r="D17" s="104">
        <f t="shared" si="2"/>
        <v>5</v>
      </c>
      <c r="E17" s="104">
        <f t="shared" si="0"/>
        <v>1</v>
      </c>
      <c r="F17">
        <v>4</v>
      </c>
      <c r="G17" s="104">
        <f t="shared" si="3"/>
        <v>0</v>
      </c>
      <c r="H17" s="104">
        <f t="shared" si="4"/>
        <v>5</v>
      </c>
      <c r="I17" s="104">
        <f t="shared" si="5"/>
        <v>0</v>
      </c>
      <c r="J17" s="104">
        <f t="shared" si="6"/>
        <v>4</v>
      </c>
      <c r="K17">
        <v>0</v>
      </c>
      <c r="L17">
        <v>1</v>
      </c>
      <c r="M17" s="104">
        <f t="shared" si="7"/>
        <v>9.9999999999999978E-2</v>
      </c>
      <c r="N17" s="104">
        <f t="shared" si="1"/>
        <v>0.9</v>
      </c>
    </row>
    <row r="18" spans="2:14" x14ac:dyDescent="0.25">
      <c r="B18">
        <v>2012</v>
      </c>
      <c r="D18" s="104">
        <f t="shared" si="2"/>
        <v>31</v>
      </c>
      <c r="E18" s="104">
        <f t="shared" si="0"/>
        <v>5</v>
      </c>
      <c r="F18">
        <v>26</v>
      </c>
      <c r="G18" s="104">
        <f t="shared" si="3"/>
        <v>0</v>
      </c>
      <c r="H18" s="104">
        <f t="shared" si="4"/>
        <v>31</v>
      </c>
      <c r="I18" s="104">
        <f t="shared" si="5"/>
        <v>3</v>
      </c>
      <c r="J18" s="104">
        <f t="shared" si="6"/>
        <v>23</v>
      </c>
      <c r="K18">
        <v>0</v>
      </c>
      <c r="L18">
        <v>1</v>
      </c>
      <c r="M18" s="104">
        <f t="shared" si="7"/>
        <v>9.9999999999999978E-2</v>
      </c>
      <c r="N18" s="104">
        <f t="shared" si="1"/>
        <v>0.9</v>
      </c>
    </row>
    <row r="19" spans="2:14" x14ac:dyDescent="0.25">
      <c r="B19">
        <v>2013</v>
      </c>
      <c r="C19" t="s">
        <v>343</v>
      </c>
      <c r="D19" s="104">
        <f t="shared" si="2"/>
        <v>5</v>
      </c>
      <c r="E19" s="104">
        <f t="shared" si="0"/>
        <v>1</v>
      </c>
      <c r="F19">
        <v>4</v>
      </c>
      <c r="G19" s="104">
        <f t="shared" si="3"/>
        <v>0</v>
      </c>
      <c r="H19" s="104">
        <f t="shared" si="4"/>
        <v>5</v>
      </c>
      <c r="I19" s="104">
        <f t="shared" si="5"/>
        <v>0</v>
      </c>
      <c r="J19" s="104">
        <f t="shared" si="6"/>
        <v>4</v>
      </c>
      <c r="K19">
        <v>0</v>
      </c>
      <c r="L19">
        <v>1</v>
      </c>
      <c r="M19" s="104">
        <f t="shared" si="7"/>
        <v>9.9999999999999978E-2</v>
      </c>
      <c r="N19" s="104">
        <f t="shared" si="1"/>
        <v>0.9</v>
      </c>
    </row>
    <row r="20" spans="2:14" x14ac:dyDescent="0.25">
      <c r="B20">
        <v>2013</v>
      </c>
      <c r="C20" t="s">
        <v>214</v>
      </c>
      <c r="D20" s="104">
        <f t="shared" si="2"/>
        <v>19</v>
      </c>
      <c r="E20" s="104">
        <f t="shared" si="0"/>
        <v>3</v>
      </c>
      <c r="F20">
        <v>16</v>
      </c>
      <c r="G20" s="104">
        <f t="shared" si="3"/>
        <v>0</v>
      </c>
      <c r="H20" s="104">
        <f t="shared" si="4"/>
        <v>19</v>
      </c>
      <c r="I20" s="104">
        <f t="shared" si="5"/>
        <v>2</v>
      </c>
      <c r="J20" s="104">
        <f t="shared" si="6"/>
        <v>14</v>
      </c>
      <c r="K20">
        <v>0</v>
      </c>
      <c r="L20">
        <v>1</v>
      </c>
      <c r="M20" s="104">
        <f t="shared" si="7"/>
        <v>9.9999999999999978E-2</v>
      </c>
      <c r="N20" s="104">
        <f t="shared" si="1"/>
        <v>0.9</v>
      </c>
    </row>
    <row r="21" spans="2:14" x14ac:dyDescent="0.25">
      <c r="B21">
        <v>2013</v>
      </c>
      <c r="C21" t="s">
        <v>320</v>
      </c>
      <c r="D21" s="104">
        <f t="shared" si="2"/>
        <v>7</v>
      </c>
      <c r="E21" s="104">
        <f t="shared" si="0"/>
        <v>1</v>
      </c>
      <c r="F21">
        <v>6</v>
      </c>
      <c r="G21" s="104">
        <f t="shared" si="3"/>
        <v>0</v>
      </c>
      <c r="H21" s="104">
        <f t="shared" si="4"/>
        <v>7</v>
      </c>
      <c r="I21" s="104">
        <f t="shared" si="5"/>
        <v>1</v>
      </c>
      <c r="J21" s="104">
        <f t="shared" si="6"/>
        <v>5</v>
      </c>
      <c r="K21">
        <v>0</v>
      </c>
      <c r="L21">
        <v>1</v>
      </c>
      <c r="M21" s="104">
        <f t="shared" si="7"/>
        <v>9.9999999999999978E-2</v>
      </c>
      <c r="N21" s="104">
        <f t="shared" si="1"/>
        <v>0.9</v>
      </c>
    </row>
    <row r="22" spans="2:14" x14ac:dyDescent="0.25">
      <c r="B22">
        <v>2013</v>
      </c>
      <c r="C22" t="s">
        <v>319</v>
      </c>
      <c r="D22" s="104">
        <f t="shared" si="2"/>
        <v>4</v>
      </c>
      <c r="E22" s="104">
        <f t="shared" si="0"/>
        <v>1</v>
      </c>
      <c r="F22">
        <v>3</v>
      </c>
      <c r="G22" s="104">
        <f t="shared" si="3"/>
        <v>0</v>
      </c>
      <c r="H22" s="104">
        <f t="shared" si="4"/>
        <v>4</v>
      </c>
      <c r="I22" s="104">
        <f t="shared" si="5"/>
        <v>0</v>
      </c>
      <c r="J22" s="104">
        <f t="shared" si="6"/>
        <v>3</v>
      </c>
      <c r="K22">
        <v>0</v>
      </c>
      <c r="L22">
        <v>1</v>
      </c>
      <c r="M22" s="104">
        <f t="shared" si="7"/>
        <v>9.9999999999999978E-2</v>
      </c>
      <c r="N22" s="104">
        <f t="shared" si="1"/>
        <v>0.9</v>
      </c>
    </row>
    <row r="23" spans="2:14" x14ac:dyDescent="0.25">
      <c r="B23">
        <v>2013</v>
      </c>
      <c r="C23" t="s">
        <v>187</v>
      </c>
      <c r="D23" s="104">
        <f t="shared" si="2"/>
        <v>1</v>
      </c>
      <c r="E23" s="104">
        <f t="shared" si="0"/>
        <v>0</v>
      </c>
      <c r="F23">
        <v>1</v>
      </c>
      <c r="G23" s="104">
        <f t="shared" si="3"/>
        <v>0</v>
      </c>
      <c r="H23" s="104">
        <f t="shared" si="4"/>
        <v>1</v>
      </c>
      <c r="I23" s="104">
        <f t="shared" si="5"/>
        <v>0</v>
      </c>
      <c r="J23" s="104">
        <f t="shared" si="6"/>
        <v>1</v>
      </c>
      <c r="K23">
        <v>0</v>
      </c>
      <c r="L23">
        <v>1</v>
      </c>
      <c r="M23" s="104">
        <f t="shared" si="7"/>
        <v>9.9999999999999978E-2</v>
      </c>
      <c r="N23" s="104">
        <f t="shared" si="1"/>
        <v>0.9</v>
      </c>
    </row>
    <row r="24" spans="2:14" x14ac:dyDescent="0.25">
      <c r="B24">
        <v>2013</v>
      </c>
      <c r="D24" s="104">
        <f t="shared" si="2"/>
        <v>35</v>
      </c>
      <c r="E24" s="104">
        <f t="shared" si="0"/>
        <v>5</v>
      </c>
      <c r="F24">
        <v>30</v>
      </c>
      <c r="G24" s="104">
        <f t="shared" si="3"/>
        <v>0</v>
      </c>
      <c r="H24" s="104">
        <f t="shared" si="4"/>
        <v>35</v>
      </c>
      <c r="I24" s="104">
        <f t="shared" si="5"/>
        <v>3</v>
      </c>
      <c r="J24" s="104">
        <f t="shared" si="6"/>
        <v>27</v>
      </c>
      <c r="K24">
        <v>0</v>
      </c>
      <c r="L24">
        <v>1</v>
      </c>
      <c r="M24" s="104">
        <f t="shared" si="7"/>
        <v>9.9999999999999978E-2</v>
      </c>
      <c r="N24" s="104">
        <f t="shared" si="1"/>
        <v>0.9</v>
      </c>
    </row>
    <row r="25" spans="2:14" x14ac:dyDescent="0.25">
      <c r="B25">
        <v>2014</v>
      </c>
      <c r="C25" t="s">
        <v>343</v>
      </c>
      <c r="D25" s="104">
        <f t="shared" si="2"/>
        <v>2</v>
      </c>
      <c r="E25" s="104">
        <f t="shared" si="0"/>
        <v>0</v>
      </c>
      <c r="F25">
        <v>2</v>
      </c>
      <c r="G25" s="104">
        <f t="shared" si="3"/>
        <v>0</v>
      </c>
      <c r="H25" s="104">
        <f t="shared" si="4"/>
        <v>2</v>
      </c>
      <c r="I25" s="104">
        <f t="shared" si="5"/>
        <v>0</v>
      </c>
      <c r="J25" s="104">
        <f t="shared" si="6"/>
        <v>2</v>
      </c>
      <c r="K25">
        <v>0</v>
      </c>
      <c r="L25">
        <v>1</v>
      </c>
      <c r="M25" s="104">
        <f t="shared" si="7"/>
        <v>9.9999999999999978E-2</v>
      </c>
      <c r="N25" s="104">
        <f t="shared" si="1"/>
        <v>0.9</v>
      </c>
    </row>
    <row r="26" spans="2:14" x14ac:dyDescent="0.25">
      <c r="B26">
        <v>2014</v>
      </c>
      <c r="C26" t="s">
        <v>214</v>
      </c>
      <c r="D26" s="104">
        <f t="shared" si="2"/>
        <v>13</v>
      </c>
      <c r="E26" s="104">
        <f t="shared" si="0"/>
        <v>2</v>
      </c>
      <c r="F26">
        <v>11</v>
      </c>
      <c r="G26" s="104">
        <f t="shared" si="3"/>
        <v>0</v>
      </c>
      <c r="H26" s="104">
        <f t="shared" si="4"/>
        <v>13</v>
      </c>
      <c r="I26" s="104">
        <f t="shared" si="5"/>
        <v>1</v>
      </c>
      <c r="J26" s="104">
        <f t="shared" si="6"/>
        <v>10</v>
      </c>
      <c r="K26">
        <v>0</v>
      </c>
      <c r="L26">
        <v>1</v>
      </c>
      <c r="M26" s="104">
        <f t="shared" si="7"/>
        <v>9.9999999999999978E-2</v>
      </c>
      <c r="N26" s="104">
        <f t="shared" si="1"/>
        <v>0.9</v>
      </c>
    </row>
    <row r="27" spans="2:14" x14ac:dyDescent="0.25">
      <c r="B27">
        <v>2014</v>
      </c>
      <c r="C27" t="s">
        <v>320</v>
      </c>
      <c r="D27" s="104">
        <f t="shared" si="2"/>
        <v>8</v>
      </c>
      <c r="E27" s="104">
        <f t="shared" si="0"/>
        <v>1</v>
      </c>
      <c r="F27">
        <v>7</v>
      </c>
      <c r="G27" s="104">
        <f t="shared" si="3"/>
        <v>0</v>
      </c>
      <c r="H27" s="104">
        <f t="shared" si="4"/>
        <v>8</v>
      </c>
      <c r="I27" s="104">
        <f t="shared" si="5"/>
        <v>1</v>
      </c>
      <c r="J27" s="104">
        <f t="shared" si="6"/>
        <v>6</v>
      </c>
      <c r="K27">
        <v>0</v>
      </c>
      <c r="L27">
        <v>1</v>
      </c>
      <c r="M27" s="104">
        <f t="shared" si="7"/>
        <v>9.9999999999999978E-2</v>
      </c>
      <c r="N27" s="104">
        <f t="shared" si="1"/>
        <v>0.9</v>
      </c>
    </row>
    <row r="28" spans="2:14" x14ac:dyDescent="0.25">
      <c r="B28">
        <v>2014</v>
      </c>
      <c r="C28" t="s">
        <v>319</v>
      </c>
      <c r="D28" s="104">
        <f t="shared" si="2"/>
        <v>6</v>
      </c>
      <c r="E28" s="104">
        <f t="shared" si="0"/>
        <v>1</v>
      </c>
      <c r="F28">
        <v>5</v>
      </c>
      <c r="G28" s="104">
        <f t="shared" si="3"/>
        <v>0</v>
      </c>
      <c r="H28" s="104">
        <f t="shared" si="4"/>
        <v>6</v>
      </c>
      <c r="I28" s="104">
        <f t="shared" si="5"/>
        <v>0</v>
      </c>
      <c r="J28" s="104">
        <f t="shared" si="6"/>
        <v>5</v>
      </c>
      <c r="K28">
        <v>0</v>
      </c>
      <c r="L28">
        <v>1</v>
      </c>
      <c r="M28" s="104">
        <f t="shared" si="7"/>
        <v>9.9999999999999978E-2</v>
      </c>
      <c r="N28" s="104">
        <f t="shared" si="1"/>
        <v>0.9</v>
      </c>
    </row>
    <row r="29" spans="2:14" x14ac:dyDescent="0.25">
      <c r="B29">
        <v>2014</v>
      </c>
      <c r="C29" t="s">
        <v>187</v>
      </c>
      <c r="D29" s="104">
        <f t="shared" si="2"/>
        <v>15</v>
      </c>
      <c r="E29" s="104">
        <f t="shared" si="0"/>
        <v>2</v>
      </c>
      <c r="F29">
        <v>13</v>
      </c>
      <c r="G29" s="104">
        <f t="shared" si="3"/>
        <v>0</v>
      </c>
      <c r="H29" s="104">
        <f t="shared" si="4"/>
        <v>15</v>
      </c>
      <c r="I29" s="104">
        <f t="shared" si="5"/>
        <v>1</v>
      </c>
      <c r="J29" s="104">
        <f t="shared" si="6"/>
        <v>12</v>
      </c>
      <c r="K29">
        <v>0</v>
      </c>
      <c r="L29">
        <v>1</v>
      </c>
      <c r="M29" s="104">
        <f t="shared" si="7"/>
        <v>9.9999999999999978E-2</v>
      </c>
      <c r="N29" s="104">
        <f t="shared" si="1"/>
        <v>0.9</v>
      </c>
    </row>
    <row r="30" spans="2:14" x14ac:dyDescent="0.25">
      <c r="B30">
        <v>2014</v>
      </c>
      <c r="D30" s="104">
        <f t="shared" si="2"/>
        <v>45</v>
      </c>
      <c r="E30" s="104">
        <f t="shared" si="0"/>
        <v>7</v>
      </c>
      <c r="F30">
        <v>38</v>
      </c>
      <c r="G30" s="104">
        <f t="shared" si="3"/>
        <v>0</v>
      </c>
      <c r="H30" s="104">
        <f t="shared" si="4"/>
        <v>45</v>
      </c>
      <c r="I30" s="104">
        <f t="shared" si="5"/>
        <v>4</v>
      </c>
      <c r="J30" s="104">
        <f t="shared" si="6"/>
        <v>34</v>
      </c>
      <c r="K30">
        <v>0</v>
      </c>
      <c r="L30">
        <v>1</v>
      </c>
      <c r="M30" s="104">
        <f t="shared" si="7"/>
        <v>9.9999999999999978E-2</v>
      </c>
      <c r="N30" s="104">
        <f t="shared" si="1"/>
        <v>0.9</v>
      </c>
    </row>
    <row r="31" spans="2:14" x14ac:dyDescent="0.25">
      <c r="B31">
        <v>2015</v>
      </c>
      <c r="C31" t="s">
        <v>343</v>
      </c>
      <c r="D31" s="104">
        <f t="shared" si="2"/>
        <v>6</v>
      </c>
      <c r="E31" s="104">
        <f t="shared" si="0"/>
        <v>1</v>
      </c>
      <c r="F31">
        <v>5</v>
      </c>
      <c r="G31" s="104">
        <f t="shared" si="3"/>
        <v>0</v>
      </c>
      <c r="H31" s="104">
        <f t="shared" si="4"/>
        <v>6</v>
      </c>
      <c r="I31" s="104">
        <f t="shared" si="5"/>
        <v>0</v>
      </c>
      <c r="J31" s="104">
        <f t="shared" si="6"/>
        <v>5</v>
      </c>
      <c r="K31">
        <v>0</v>
      </c>
      <c r="L31">
        <v>1</v>
      </c>
      <c r="M31" s="104">
        <f t="shared" si="7"/>
        <v>9.9999999999999978E-2</v>
      </c>
      <c r="N31" s="104">
        <f t="shared" si="1"/>
        <v>0.9</v>
      </c>
    </row>
    <row r="32" spans="2:14" x14ac:dyDescent="0.25">
      <c r="B32">
        <v>2015</v>
      </c>
      <c r="C32" t="s">
        <v>214</v>
      </c>
      <c r="D32" s="104">
        <f t="shared" si="2"/>
        <v>7</v>
      </c>
      <c r="E32" s="104">
        <f t="shared" si="0"/>
        <v>1</v>
      </c>
      <c r="F32">
        <v>6</v>
      </c>
      <c r="G32" s="104">
        <f t="shared" si="3"/>
        <v>0</v>
      </c>
      <c r="H32" s="104">
        <f t="shared" si="4"/>
        <v>7</v>
      </c>
      <c r="I32" s="104">
        <f t="shared" si="5"/>
        <v>1</v>
      </c>
      <c r="J32" s="104">
        <f t="shared" si="6"/>
        <v>5</v>
      </c>
      <c r="K32">
        <v>0</v>
      </c>
      <c r="L32">
        <v>1</v>
      </c>
      <c r="M32" s="104">
        <f t="shared" si="7"/>
        <v>9.9999999999999978E-2</v>
      </c>
      <c r="N32" s="104">
        <f t="shared" si="1"/>
        <v>0.9</v>
      </c>
    </row>
    <row r="33" spans="2:14" x14ac:dyDescent="0.25">
      <c r="B33">
        <v>2015</v>
      </c>
      <c r="C33" t="s">
        <v>320</v>
      </c>
      <c r="D33" s="104">
        <f t="shared" si="2"/>
        <v>4</v>
      </c>
      <c r="E33" s="104">
        <f t="shared" si="0"/>
        <v>1</v>
      </c>
      <c r="F33">
        <v>3</v>
      </c>
      <c r="G33" s="104">
        <f t="shared" si="3"/>
        <v>0</v>
      </c>
      <c r="H33" s="104">
        <f t="shared" si="4"/>
        <v>4</v>
      </c>
      <c r="I33" s="104">
        <f t="shared" si="5"/>
        <v>0</v>
      </c>
      <c r="J33" s="104">
        <f t="shared" si="6"/>
        <v>3</v>
      </c>
      <c r="K33">
        <v>0</v>
      </c>
      <c r="L33">
        <v>1</v>
      </c>
      <c r="M33" s="104">
        <f t="shared" si="7"/>
        <v>9.9999999999999978E-2</v>
      </c>
      <c r="N33" s="104">
        <f t="shared" si="1"/>
        <v>0.9</v>
      </c>
    </row>
    <row r="34" spans="2:14" x14ac:dyDescent="0.25">
      <c r="B34">
        <v>2015</v>
      </c>
      <c r="C34" t="s">
        <v>319</v>
      </c>
      <c r="D34" s="104">
        <f t="shared" si="2"/>
        <v>4</v>
      </c>
      <c r="E34" s="104">
        <f t="shared" si="0"/>
        <v>1</v>
      </c>
      <c r="F34">
        <v>3</v>
      </c>
      <c r="G34" s="104">
        <f t="shared" si="3"/>
        <v>0</v>
      </c>
      <c r="H34" s="104">
        <f t="shared" si="4"/>
        <v>4</v>
      </c>
      <c r="I34" s="104">
        <f t="shared" si="5"/>
        <v>0</v>
      </c>
      <c r="J34" s="104">
        <f t="shared" si="6"/>
        <v>3</v>
      </c>
      <c r="K34">
        <v>0</v>
      </c>
      <c r="L34">
        <v>1</v>
      </c>
      <c r="M34" s="104">
        <f t="shared" si="7"/>
        <v>9.9999999999999978E-2</v>
      </c>
      <c r="N34" s="104">
        <f t="shared" si="1"/>
        <v>0.9</v>
      </c>
    </row>
    <row r="35" spans="2:14" x14ac:dyDescent="0.25">
      <c r="B35">
        <v>2015</v>
      </c>
      <c r="C35" t="s">
        <v>187</v>
      </c>
      <c r="D35" s="104">
        <f t="shared" si="2"/>
        <v>2</v>
      </c>
      <c r="E35" s="104">
        <f t="shared" si="0"/>
        <v>0</v>
      </c>
      <c r="F35">
        <v>2</v>
      </c>
      <c r="G35" s="104">
        <f t="shared" si="3"/>
        <v>0</v>
      </c>
      <c r="H35" s="104">
        <f t="shared" si="4"/>
        <v>2</v>
      </c>
      <c r="I35" s="104">
        <f t="shared" si="5"/>
        <v>0</v>
      </c>
      <c r="J35" s="104">
        <f t="shared" si="6"/>
        <v>2</v>
      </c>
      <c r="K35">
        <v>0</v>
      </c>
      <c r="L35">
        <v>1</v>
      </c>
      <c r="M35" s="104">
        <f t="shared" si="7"/>
        <v>9.9999999999999978E-2</v>
      </c>
      <c r="N35" s="104">
        <f t="shared" si="1"/>
        <v>0.9</v>
      </c>
    </row>
    <row r="36" spans="2:14" x14ac:dyDescent="0.25">
      <c r="B36">
        <v>2015</v>
      </c>
      <c r="D36" s="104">
        <f t="shared" si="2"/>
        <v>22</v>
      </c>
      <c r="E36" s="104">
        <f t="shared" ref="E36:E54" si="8">ROUND(F36*(1-p_screen_incid)/p_screen_incid,0)</f>
        <v>3</v>
      </c>
      <c r="F36">
        <v>19</v>
      </c>
      <c r="G36" s="104">
        <f t="shared" si="3"/>
        <v>0</v>
      </c>
      <c r="H36" s="104">
        <f t="shared" si="4"/>
        <v>22</v>
      </c>
      <c r="I36" s="104">
        <f t="shared" si="5"/>
        <v>2</v>
      </c>
      <c r="J36" s="104">
        <f t="shared" si="6"/>
        <v>17</v>
      </c>
      <c r="K36">
        <v>0</v>
      </c>
      <c r="L36">
        <v>1</v>
      </c>
      <c r="M36" s="104">
        <f t="shared" si="7"/>
        <v>9.9999999999999978E-2</v>
      </c>
      <c r="N36" s="104">
        <f t="shared" ref="N36:N54" si="9">p_site_screen</f>
        <v>0.9</v>
      </c>
    </row>
    <row r="37" spans="2:14" x14ac:dyDescent="0.25">
      <c r="B37">
        <v>2016</v>
      </c>
      <c r="C37" t="s">
        <v>343</v>
      </c>
      <c r="D37" s="104">
        <f t="shared" si="2"/>
        <v>1</v>
      </c>
      <c r="E37" s="104">
        <f t="shared" si="8"/>
        <v>0</v>
      </c>
      <c r="F37">
        <v>1</v>
      </c>
      <c r="G37" s="104">
        <f t="shared" si="3"/>
        <v>0</v>
      </c>
      <c r="H37" s="104">
        <f t="shared" si="4"/>
        <v>1</v>
      </c>
      <c r="I37" s="104">
        <f t="shared" si="5"/>
        <v>0</v>
      </c>
      <c r="J37" s="104">
        <f t="shared" si="6"/>
        <v>1</v>
      </c>
      <c r="K37">
        <v>0</v>
      </c>
      <c r="L37">
        <v>1</v>
      </c>
      <c r="M37" s="104">
        <f t="shared" si="7"/>
        <v>9.9999999999999978E-2</v>
      </c>
      <c r="N37" s="104">
        <f t="shared" si="9"/>
        <v>0.9</v>
      </c>
    </row>
    <row r="38" spans="2:14" x14ac:dyDescent="0.25">
      <c r="B38">
        <v>2016</v>
      </c>
      <c r="C38" t="s">
        <v>214</v>
      </c>
      <c r="D38" s="104">
        <f t="shared" si="2"/>
        <v>7</v>
      </c>
      <c r="E38" s="104">
        <f t="shared" si="8"/>
        <v>1</v>
      </c>
      <c r="F38">
        <v>6</v>
      </c>
      <c r="G38" s="104">
        <f t="shared" si="3"/>
        <v>0</v>
      </c>
      <c r="H38" s="104">
        <f t="shared" si="4"/>
        <v>7</v>
      </c>
      <c r="I38" s="104">
        <f t="shared" si="5"/>
        <v>1</v>
      </c>
      <c r="J38" s="104">
        <f t="shared" si="6"/>
        <v>5</v>
      </c>
      <c r="K38">
        <v>0</v>
      </c>
      <c r="L38">
        <v>1</v>
      </c>
      <c r="M38" s="104">
        <f t="shared" si="7"/>
        <v>9.9999999999999978E-2</v>
      </c>
      <c r="N38" s="104">
        <f t="shared" si="9"/>
        <v>0.9</v>
      </c>
    </row>
    <row r="39" spans="2:14" x14ac:dyDescent="0.25">
      <c r="B39">
        <v>2016</v>
      </c>
      <c r="C39" t="s">
        <v>320</v>
      </c>
      <c r="D39" s="104">
        <f t="shared" si="2"/>
        <v>11</v>
      </c>
      <c r="E39" s="104">
        <f t="shared" si="8"/>
        <v>2</v>
      </c>
      <c r="F39">
        <v>9</v>
      </c>
      <c r="G39" s="104">
        <f t="shared" si="3"/>
        <v>0</v>
      </c>
      <c r="H39" s="104">
        <f t="shared" si="4"/>
        <v>11</v>
      </c>
      <c r="I39" s="104">
        <f t="shared" si="5"/>
        <v>1</v>
      </c>
      <c r="J39" s="104">
        <f t="shared" si="6"/>
        <v>8</v>
      </c>
      <c r="K39">
        <v>0</v>
      </c>
      <c r="L39">
        <v>1</v>
      </c>
      <c r="M39" s="104">
        <f t="shared" si="7"/>
        <v>9.9999999999999978E-2</v>
      </c>
      <c r="N39" s="104">
        <f t="shared" si="9"/>
        <v>0.9</v>
      </c>
    </row>
    <row r="40" spans="2:14" x14ac:dyDescent="0.25">
      <c r="B40">
        <v>2016</v>
      </c>
      <c r="C40" t="s">
        <v>319</v>
      </c>
      <c r="D40" s="104">
        <f t="shared" si="2"/>
        <v>2</v>
      </c>
      <c r="E40" s="104">
        <f t="shared" si="8"/>
        <v>0</v>
      </c>
      <c r="F40">
        <v>2</v>
      </c>
      <c r="G40" s="104">
        <f t="shared" si="3"/>
        <v>0</v>
      </c>
      <c r="H40" s="104">
        <f t="shared" si="4"/>
        <v>2</v>
      </c>
      <c r="I40" s="104">
        <f t="shared" si="5"/>
        <v>0</v>
      </c>
      <c r="J40" s="104">
        <f t="shared" si="6"/>
        <v>2</v>
      </c>
      <c r="K40">
        <v>0</v>
      </c>
      <c r="L40">
        <v>1</v>
      </c>
      <c r="M40" s="104">
        <f t="shared" si="7"/>
        <v>9.9999999999999978E-2</v>
      </c>
      <c r="N40" s="104">
        <f t="shared" si="9"/>
        <v>0.9</v>
      </c>
    </row>
    <row r="41" spans="2:14" x14ac:dyDescent="0.25">
      <c r="B41">
        <v>2016</v>
      </c>
      <c r="C41" t="s">
        <v>187</v>
      </c>
      <c r="D41" s="104">
        <f t="shared" si="2"/>
        <v>4</v>
      </c>
      <c r="E41" s="104">
        <f t="shared" si="8"/>
        <v>1</v>
      </c>
      <c r="F41">
        <v>3</v>
      </c>
      <c r="G41" s="104">
        <f t="shared" si="3"/>
        <v>0</v>
      </c>
      <c r="H41" s="104">
        <f t="shared" si="4"/>
        <v>4</v>
      </c>
      <c r="I41" s="104">
        <f t="shared" si="5"/>
        <v>0</v>
      </c>
      <c r="J41" s="104">
        <f t="shared" si="6"/>
        <v>3</v>
      </c>
      <c r="K41">
        <v>0</v>
      </c>
      <c r="L41">
        <v>1</v>
      </c>
      <c r="M41" s="104">
        <f t="shared" si="7"/>
        <v>9.9999999999999978E-2</v>
      </c>
      <c r="N41" s="104">
        <f t="shared" si="9"/>
        <v>0.9</v>
      </c>
    </row>
    <row r="42" spans="2:14" x14ac:dyDescent="0.25">
      <c r="B42">
        <v>2016</v>
      </c>
      <c r="D42" s="104">
        <f t="shared" si="2"/>
        <v>25</v>
      </c>
      <c r="E42" s="104">
        <f t="shared" si="8"/>
        <v>4</v>
      </c>
      <c r="F42">
        <v>21</v>
      </c>
      <c r="G42" s="104">
        <f t="shared" si="3"/>
        <v>0</v>
      </c>
      <c r="H42" s="104">
        <f t="shared" si="4"/>
        <v>25</v>
      </c>
      <c r="I42" s="104">
        <f t="shared" si="5"/>
        <v>2</v>
      </c>
      <c r="J42" s="104">
        <f t="shared" si="6"/>
        <v>19</v>
      </c>
      <c r="K42">
        <v>0</v>
      </c>
      <c r="L42">
        <v>1</v>
      </c>
      <c r="M42" s="104">
        <f t="shared" si="7"/>
        <v>9.9999999999999978E-2</v>
      </c>
      <c r="N42" s="104">
        <f t="shared" si="9"/>
        <v>0.9</v>
      </c>
    </row>
    <row r="43" spans="2:14" x14ac:dyDescent="0.25">
      <c r="B43">
        <v>2017</v>
      </c>
      <c r="C43" t="s">
        <v>343</v>
      </c>
      <c r="D43" s="104">
        <f t="shared" si="2"/>
        <v>5</v>
      </c>
      <c r="E43" s="104">
        <f t="shared" si="8"/>
        <v>1</v>
      </c>
      <c r="F43">
        <v>4</v>
      </c>
      <c r="G43" s="104">
        <f t="shared" si="3"/>
        <v>0</v>
      </c>
      <c r="H43" s="104">
        <f t="shared" si="4"/>
        <v>5</v>
      </c>
      <c r="I43" s="104">
        <f t="shared" si="5"/>
        <v>0</v>
      </c>
      <c r="J43" s="104">
        <f t="shared" si="6"/>
        <v>4</v>
      </c>
      <c r="K43">
        <v>0</v>
      </c>
      <c r="L43">
        <v>1</v>
      </c>
      <c r="M43" s="104">
        <f t="shared" si="7"/>
        <v>9.9999999999999978E-2</v>
      </c>
      <c r="N43" s="104">
        <f t="shared" si="9"/>
        <v>0.9</v>
      </c>
    </row>
    <row r="44" spans="2:14" x14ac:dyDescent="0.25">
      <c r="B44">
        <v>2017</v>
      </c>
      <c r="C44" t="s">
        <v>214</v>
      </c>
      <c r="D44" s="104">
        <f t="shared" si="2"/>
        <v>13</v>
      </c>
      <c r="E44" s="104">
        <f t="shared" si="8"/>
        <v>2</v>
      </c>
      <c r="F44">
        <v>11</v>
      </c>
      <c r="G44" s="104">
        <f t="shared" si="3"/>
        <v>0</v>
      </c>
      <c r="H44" s="104">
        <f t="shared" si="4"/>
        <v>13</v>
      </c>
      <c r="I44" s="104">
        <f t="shared" si="5"/>
        <v>1</v>
      </c>
      <c r="J44" s="104">
        <f t="shared" si="6"/>
        <v>10</v>
      </c>
      <c r="K44">
        <v>0</v>
      </c>
      <c r="L44">
        <v>1</v>
      </c>
      <c r="M44" s="104">
        <f t="shared" si="7"/>
        <v>9.9999999999999978E-2</v>
      </c>
      <c r="N44" s="104">
        <f t="shared" si="9"/>
        <v>0.9</v>
      </c>
    </row>
    <row r="45" spans="2:14" x14ac:dyDescent="0.25">
      <c r="B45">
        <v>2017</v>
      </c>
      <c r="C45" t="s">
        <v>320</v>
      </c>
      <c r="D45" s="104">
        <f t="shared" si="2"/>
        <v>7</v>
      </c>
      <c r="E45" s="104">
        <f t="shared" si="8"/>
        <v>1</v>
      </c>
      <c r="F45">
        <v>6</v>
      </c>
      <c r="G45" s="104">
        <f t="shared" si="3"/>
        <v>0</v>
      </c>
      <c r="H45" s="104">
        <f t="shared" si="4"/>
        <v>7</v>
      </c>
      <c r="I45" s="104">
        <f t="shared" si="5"/>
        <v>1</v>
      </c>
      <c r="J45" s="104">
        <f t="shared" si="6"/>
        <v>5</v>
      </c>
      <c r="K45">
        <v>0</v>
      </c>
      <c r="L45">
        <v>1</v>
      </c>
      <c r="M45" s="104">
        <f t="shared" si="7"/>
        <v>9.9999999999999978E-2</v>
      </c>
      <c r="N45" s="104">
        <f t="shared" si="9"/>
        <v>0.9</v>
      </c>
    </row>
    <row r="46" spans="2:14" x14ac:dyDescent="0.25">
      <c r="B46">
        <v>2017</v>
      </c>
      <c r="C46" t="s">
        <v>319</v>
      </c>
      <c r="D46" s="104">
        <f t="shared" si="2"/>
        <v>4</v>
      </c>
      <c r="E46" s="104">
        <f t="shared" si="8"/>
        <v>1</v>
      </c>
      <c r="F46">
        <v>3</v>
      </c>
      <c r="G46" s="104">
        <f t="shared" si="3"/>
        <v>0</v>
      </c>
      <c r="H46" s="104">
        <f t="shared" si="4"/>
        <v>4</v>
      </c>
      <c r="I46" s="104">
        <f t="shared" si="5"/>
        <v>0</v>
      </c>
      <c r="J46" s="104">
        <f t="shared" si="6"/>
        <v>3</v>
      </c>
      <c r="K46">
        <v>0</v>
      </c>
      <c r="L46">
        <v>1</v>
      </c>
      <c r="M46" s="104">
        <f t="shared" si="7"/>
        <v>9.9999999999999978E-2</v>
      </c>
      <c r="N46" s="104">
        <f t="shared" si="9"/>
        <v>0.9</v>
      </c>
    </row>
    <row r="47" spans="2:14" x14ac:dyDescent="0.25">
      <c r="B47">
        <v>2017</v>
      </c>
      <c r="C47" t="s">
        <v>187</v>
      </c>
      <c r="D47" s="104">
        <f t="shared" si="2"/>
        <v>2</v>
      </c>
      <c r="E47" s="104">
        <f t="shared" si="8"/>
        <v>0</v>
      </c>
      <c r="F47">
        <v>2</v>
      </c>
      <c r="G47" s="104">
        <f t="shared" si="3"/>
        <v>0</v>
      </c>
      <c r="H47" s="104">
        <f t="shared" si="4"/>
        <v>2</v>
      </c>
      <c r="I47" s="104">
        <f t="shared" si="5"/>
        <v>0</v>
      </c>
      <c r="J47" s="104">
        <f t="shared" si="6"/>
        <v>2</v>
      </c>
      <c r="K47">
        <v>0</v>
      </c>
      <c r="L47">
        <v>1</v>
      </c>
      <c r="M47" s="104">
        <f t="shared" si="7"/>
        <v>9.9999999999999978E-2</v>
      </c>
      <c r="N47" s="104">
        <f t="shared" si="9"/>
        <v>0.9</v>
      </c>
    </row>
    <row r="48" spans="2:14" x14ac:dyDescent="0.25">
      <c r="B48">
        <v>2017</v>
      </c>
      <c r="D48" s="104">
        <f t="shared" si="2"/>
        <v>31</v>
      </c>
      <c r="E48" s="104">
        <f t="shared" si="8"/>
        <v>5</v>
      </c>
      <c r="F48">
        <v>26</v>
      </c>
      <c r="G48" s="104">
        <f t="shared" si="3"/>
        <v>0</v>
      </c>
      <c r="H48" s="104">
        <f t="shared" si="4"/>
        <v>31</v>
      </c>
      <c r="I48" s="104">
        <f>F48-J48</f>
        <v>3</v>
      </c>
      <c r="J48" s="104">
        <f t="shared" si="6"/>
        <v>23</v>
      </c>
      <c r="K48">
        <v>0</v>
      </c>
      <c r="L48">
        <v>1</v>
      </c>
      <c r="M48" s="104">
        <f t="shared" si="7"/>
        <v>9.9999999999999978E-2</v>
      </c>
      <c r="N48" s="104">
        <f t="shared" si="9"/>
        <v>0.9</v>
      </c>
    </row>
    <row r="49" spans="2:14" x14ac:dyDescent="0.25">
      <c r="B49">
        <v>2018</v>
      </c>
      <c r="C49" t="s">
        <v>343</v>
      </c>
      <c r="D49" s="104">
        <f t="shared" si="2"/>
        <v>1</v>
      </c>
      <c r="E49" s="104">
        <f t="shared" si="8"/>
        <v>0</v>
      </c>
      <c r="F49">
        <v>1</v>
      </c>
      <c r="G49" s="104">
        <f t="shared" si="3"/>
        <v>0</v>
      </c>
      <c r="H49" s="104">
        <f t="shared" si="4"/>
        <v>1</v>
      </c>
      <c r="I49" s="104">
        <f t="shared" si="5"/>
        <v>0</v>
      </c>
      <c r="J49" s="104">
        <f t="shared" si="6"/>
        <v>1</v>
      </c>
      <c r="K49">
        <v>0</v>
      </c>
      <c r="L49">
        <v>1</v>
      </c>
      <c r="M49" s="104">
        <f t="shared" si="7"/>
        <v>9.9999999999999978E-2</v>
      </c>
      <c r="N49" s="104">
        <f t="shared" si="9"/>
        <v>0.9</v>
      </c>
    </row>
    <row r="50" spans="2:14" x14ac:dyDescent="0.25">
      <c r="B50">
        <v>2018</v>
      </c>
      <c r="C50" t="s">
        <v>214</v>
      </c>
      <c r="D50" s="104">
        <f t="shared" si="2"/>
        <v>7</v>
      </c>
      <c r="E50" s="104">
        <f t="shared" si="8"/>
        <v>1</v>
      </c>
      <c r="F50">
        <v>6</v>
      </c>
      <c r="G50" s="104">
        <f t="shared" si="3"/>
        <v>0</v>
      </c>
      <c r="H50" s="104">
        <f t="shared" si="4"/>
        <v>7</v>
      </c>
      <c r="I50" s="104">
        <f t="shared" si="5"/>
        <v>1</v>
      </c>
      <c r="J50" s="104">
        <f t="shared" si="6"/>
        <v>5</v>
      </c>
      <c r="K50">
        <v>0</v>
      </c>
      <c r="L50">
        <v>1</v>
      </c>
      <c r="M50" s="104">
        <f t="shared" si="7"/>
        <v>9.9999999999999978E-2</v>
      </c>
      <c r="N50" s="104">
        <f t="shared" si="9"/>
        <v>0.9</v>
      </c>
    </row>
    <row r="51" spans="2:14" x14ac:dyDescent="0.25">
      <c r="B51">
        <v>2018</v>
      </c>
      <c r="C51" t="s">
        <v>320</v>
      </c>
      <c r="D51" s="104">
        <f t="shared" si="2"/>
        <v>5</v>
      </c>
      <c r="E51" s="104">
        <f t="shared" si="8"/>
        <v>1</v>
      </c>
      <c r="F51">
        <v>4</v>
      </c>
      <c r="G51" s="104">
        <f t="shared" si="3"/>
        <v>0</v>
      </c>
      <c r="H51" s="104">
        <f t="shared" si="4"/>
        <v>5</v>
      </c>
      <c r="I51" s="104">
        <f t="shared" si="5"/>
        <v>0</v>
      </c>
      <c r="J51" s="104">
        <f t="shared" si="6"/>
        <v>4</v>
      </c>
      <c r="K51">
        <v>0</v>
      </c>
      <c r="L51">
        <v>1</v>
      </c>
      <c r="M51" s="104">
        <f t="shared" si="7"/>
        <v>9.9999999999999978E-2</v>
      </c>
      <c r="N51" s="104">
        <f t="shared" si="9"/>
        <v>0.9</v>
      </c>
    </row>
    <row r="52" spans="2:14" x14ac:dyDescent="0.25">
      <c r="B52">
        <v>2018</v>
      </c>
      <c r="C52" t="s">
        <v>319</v>
      </c>
      <c r="D52" s="104">
        <f t="shared" si="2"/>
        <v>4</v>
      </c>
      <c r="E52" s="104">
        <f t="shared" si="8"/>
        <v>1</v>
      </c>
      <c r="F52">
        <v>3</v>
      </c>
      <c r="G52" s="104">
        <f t="shared" si="3"/>
        <v>0</v>
      </c>
      <c r="H52" s="104">
        <f t="shared" si="4"/>
        <v>4</v>
      </c>
      <c r="I52" s="104">
        <f t="shared" si="5"/>
        <v>0</v>
      </c>
      <c r="J52" s="104">
        <f t="shared" si="6"/>
        <v>3</v>
      </c>
      <c r="K52">
        <v>0</v>
      </c>
      <c r="L52">
        <v>1</v>
      </c>
      <c r="M52" s="104">
        <f t="shared" si="7"/>
        <v>9.9999999999999978E-2</v>
      </c>
      <c r="N52" s="104">
        <f t="shared" si="9"/>
        <v>0.9</v>
      </c>
    </row>
    <row r="53" spans="2:14" x14ac:dyDescent="0.25">
      <c r="B53">
        <v>2018</v>
      </c>
      <c r="C53" t="s">
        <v>187</v>
      </c>
      <c r="D53" s="104">
        <f t="shared" si="2"/>
        <v>4</v>
      </c>
      <c r="E53" s="104">
        <f t="shared" si="8"/>
        <v>1</v>
      </c>
      <c r="F53">
        <v>3</v>
      </c>
      <c r="G53" s="104">
        <f t="shared" si="3"/>
        <v>0</v>
      </c>
      <c r="H53" s="104">
        <f t="shared" si="4"/>
        <v>4</v>
      </c>
      <c r="I53" s="104">
        <f t="shared" si="5"/>
        <v>0</v>
      </c>
      <c r="J53" s="104">
        <f t="shared" si="6"/>
        <v>3</v>
      </c>
      <c r="K53">
        <v>0</v>
      </c>
      <c r="L53">
        <v>1</v>
      </c>
      <c r="M53" s="104">
        <f t="shared" si="7"/>
        <v>9.9999999999999978E-2</v>
      </c>
      <c r="N53" s="104">
        <f t="shared" si="9"/>
        <v>0.9</v>
      </c>
    </row>
    <row r="54" spans="2:14" x14ac:dyDescent="0.25">
      <c r="B54">
        <v>2018</v>
      </c>
      <c r="D54" s="104">
        <f t="shared" si="2"/>
        <v>20</v>
      </c>
      <c r="E54" s="104">
        <f t="shared" si="8"/>
        <v>3</v>
      </c>
      <c r="F54">
        <v>17</v>
      </c>
      <c r="G54" s="104">
        <f t="shared" si="3"/>
        <v>0</v>
      </c>
      <c r="H54" s="104">
        <f t="shared" si="4"/>
        <v>20</v>
      </c>
      <c r="I54" s="104">
        <f t="shared" si="5"/>
        <v>2</v>
      </c>
      <c r="J54" s="104">
        <f t="shared" si="6"/>
        <v>15</v>
      </c>
      <c r="K54">
        <v>0</v>
      </c>
      <c r="L54">
        <v>1</v>
      </c>
      <c r="M54" s="104">
        <f t="shared" si="7"/>
        <v>9.9999999999999978E-2</v>
      </c>
      <c r="N54" s="104">
        <f t="shared" si="9"/>
        <v>0.9</v>
      </c>
    </row>
  </sheetData>
  <pageMargins left="0.7" right="0.7" top="0.75" bottom="0.75" header="0.3" footer="0.3"/>
  <ignoredErrors>
    <ignoredError sqref="H4:H5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77</vt:i4>
      </vt:variant>
    </vt:vector>
  </HeadingPairs>
  <TitlesOfParts>
    <vt:vector size="92" baseType="lpstr">
      <vt:lpstr>README</vt:lpstr>
      <vt:lpstr>Flowchart</vt:lpstr>
      <vt:lpstr>Event costs eqns</vt:lpstr>
      <vt:lpstr>SA one-way</vt:lpstr>
      <vt:lpstr>Scenarios</vt:lpstr>
      <vt:lpstr>Tornado</vt:lpstr>
      <vt:lpstr>Treatment</vt:lpstr>
      <vt:lpstr>Oncosts</vt:lpstr>
      <vt:lpstr>Appt Admin</vt:lpstr>
      <vt:lpstr>Equipment</vt:lpstr>
      <vt:lpstr>Meetings</vt:lpstr>
      <vt:lpstr>Staff</vt:lpstr>
      <vt:lpstr>Salaries</vt:lpstr>
      <vt:lpstr>Incidents</vt:lpstr>
      <vt:lpstr>Pathways</vt:lpstr>
      <vt:lpstr>admin_job</vt:lpstr>
      <vt:lpstr>c_allTx</vt:lpstr>
      <vt:lpstr>c_apptnurse</vt:lpstr>
      <vt:lpstr>c_blood</vt:lpstr>
      <vt:lpstr>c_drive</vt:lpstr>
      <vt:lpstr>c_enquire</vt:lpstr>
      <vt:lpstr>c_fup</vt:lpstr>
      <vt:lpstr>c_fup_appt</vt:lpstr>
      <vt:lpstr>c_hpp_hr_london</vt:lpstr>
      <vt:lpstr>c_hpp_hr_outside</vt:lpstr>
      <vt:lpstr>c_hpp_london_yr</vt:lpstr>
      <vt:lpstr>c_hpp_out_yr</vt:lpstr>
      <vt:lpstr>c_IGRA</vt:lpstr>
      <vt:lpstr>c_inc_meet_BIRM</vt:lpstr>
      <vt:lpstr>c_incid_meet_salary_BIRM</vt:lpstr>
      <vt:lpstr>c_inform</vt:lpstr>
      <vt:lpstr>c_invite</vt:lpstr>
      <vt:lpstr>c_LTBR</vt:lpstr>
      <vt:lpstr>c_LTBR_hr</vt:lpstr>
      <vt:lpstr>c_LTBR_yr</vt:lpstr>
      <vt:lpstr>c_meeting_review_BIRM</vt:lpstr>
      <vt:lpstr>c_nurse_3_hr_london</vt:lpstr>
      <vt:lpstr>c_nurse_3_hr_outside</vt:lpstr>
      <vt:lpstr>c_nurse_3_yr</vt:lpstr>
      <vt:lpstr>c_nurse_6_hr_london</vt:lpstr>
      <vt:lpstr>c_nurse_6_hr_outside</vt:lpstr>
      <vt:lpstr>c_nurse_6_yr</vt:lpstr>
      <vt:lpstr>c_nurse_7_hr_london</vt:lpstr>
      <vt:lpstr>c_nurse_7_hr_outside</vt:lpstr>
      <vt:lpstr>c_nurse_7_yr</vt:lpstr>
      <vt:lpstr>c_nurse_lead_hr_london</vt:lpstr>
      <vt:lpstr>c_nurse_lead_hr_outside</vt:lpstr>
      <vt:lpstr>c_nurse_lead_yr</vt:lpstr>
      <vt:lpstr>c_paed</vt:lpstr>
      <vt:lpstr>c_paed_hr</vt:lpstr>
      <vt:lpstr>c_phleb</vt:lpstr>
      <vt:lpstr>c_phoneRA_BIRM</vt:lpstr>
      <vt:lpstr>c_QandA</vt:lpstr>
      <vt:lpstr>c_site_screen</vt:lpstr>
      <vt:lpstr>c_siteRA_BIRM</vt:lpstr>
      <vt:lpstr>c_TBphys_hr_london</vt:lpstr>
      <vt:lpstr>c_TBphys_hr_outside</vt:lpstr>
      <vt:lpstr>c_TBphys_yr</vt:lpstr>
      <vt:lpstr>c_TST</vt:lpstr>
      <vt:lpstr>c_Tx</vt:lpstr>
      <vt:lpstr>d_actual</vt:lpstr>
      <vt:lpstr>d_actual_hrs</vt:lpstr>
      <vt:lpstr>d_avail</vt:lpstr>
      <vt:lpstr>d_leave0</vt:lpstr>
      <vt:lpstr>d_leave10</vt:lpstr>
      <vt:lpstr>d_leave5</vt:lpstr>
      <vt:lpstr>d_pubhol</vt:lpstr>
      <vt:lpstr>d_site</vt:lpstr>
      <vt:lpstr>max_screen</vt:lpstr>
      <vt:lpstr>num_identified</vt:lpstr>
      <vt:lpstr>outbreak_size</vt:lpstr>
      <vt:lpstr>p_admin</vt:lpstr>
      <vt:lpstr>p_NI</vt:lpstr>
      <vt:lpstr>p_pension18</vt:lpstr>
      <vt:lpstr>p_pension19</vt:lpstr>
      <vt:lpstr>p_pensionNI</vt:lpstr>
      <vt:lpstr>p_pos</vt:lpstr>
      <vt:lpstr>p_screen_incid</vt:lpstr>
      <vt:lpstr>p_site_screen</vt:lpstr>
      <vt:lpstr>t_admin_appt</vt:lpstr>
      <vt:lpstr>t_admin_id</vt:lpstr>
      <vt:lpstr>t_admin_post</vt:lpstr>
      <vt:lpstr>t_enquire</vt:lpstr>
      <vt:lpstr>t_incid_meet</vt:lpstr>
      <vt:lpstr>t_inform</vt:lpstr>
      <vt:lpstr>t_inform_pp</vt:lpstr>
      <vt:lpstr>t_meet_review</vt:lpstr>
      <vt:lpstr>t_phone_preRA</vt:lpstr>
      <vt:lpstr>t_phoneRA</vt:lpstr>
      <vt:lpstr>t_QandA</vt:lpstr>
      <vt:lpstr>t_site_screen</vt:lpstr>
      <vt:lpstr>t_siteRA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Green</dc:creator>
  <cp:lastModifiedBy>Green, Nathan</cp:lastModifiedBy>
  <cp:lastPrinted>2019-10-09T14:40:40Z</cp:lastPrinted>
  <dcterms:created xsi:type="dcterms:W3CDTF">2019-03-27T08:37:51Z</dcterms:created>
  <dcterms:modified xsi:type="dcterms:W3CDTF">2024-06-18T08:36:11Z</dcterms:modified>
</cp:coreProperties>
</file>